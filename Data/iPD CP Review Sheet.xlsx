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" sheetId="1" r:id="rId5"/>
    <sheet state="visible" name="Top Level Pivot Table" sheetId="2" r:id="rId6"/>
    <sheet state="visible" name="Skills" sheetId="3" r:id="rId7"/>
    <sheet state="visible" name="Skills Pivot Table" sheetId="4" r:id="rId8"/>
    <sheet state="visible" name="Instructors" sheetId="5" r:id="rId9"/>
  </sheets>
  <definedNames>
    <definedName hidden="1" localSheetId="0" name="_xlnm._FilterDatabase">main!$A$1:$Q$693</definedName>
    <definedName hidden="1" localSheetId="2" name="_xlnm._FilterDatabase">Skills!$A$1:$L$192</definedName>
  </definedNames>
  <calcPr/>
  <pivotCaches>
    <pivotCache cacheId="0" r:id="rId10"/>
  </pivotCaches>
</workbook>
</file>

<file path=xl/sharedStrings.xml><?xml version="1.0" encoding="utf-8"?>
<sst xmlns="http://schemas.openxmlformats.org/spreadsheetml/2006/main" count="3330" uniqueCount="518">
  <si>
    <t>Week</t>
  </si>
  <si>
    <t>Date</t>
  </si>
  <si>
    <t>Day</t>
  </si>
  <si>
    <t>Slot</t>
  </si>
  <si>
    <t>Instructor</t>
  </si>
  <si>
    <t>Instructor Experience</t>
  </si>
  <si>
    <t>Instructor Review</t>
  </si>
  <si>
    <t>Class Attendance</t>
  </si>
  <si>
    <t>Topic / Module</t>
  </si>
  <si>
    <t>Domain</t>
  </si>
  <si>
    <t>Duration</t>
  </si>
  <si>
    <t>Avg. Student Rating</t>
  </si>
  <si>
    <t>Type</t>
  </si>
  <si>
    <t>Skill 1</t>
  </si>
  <si>
    <t>Skill 2</t>
  </si>
  <si>
    <t>Skill 3</t>
  </si>
  <si>
    <t>Skill 4</t>
  </si>
  <si>
    <t>Monday</t>
  </si>
  <si>
    <t>Slot 1</t>
  </si>
  <si>
    <t>Anuj Grover</t>
  </si>
  <si>
    <t>Introduction to iPD-CP and PDLC</t>
  </si>
  <si>
    <t>Design &amp; UI</t>
  </si>
  <si>
    <t>Lecture</t>
  </si>
  <si>
    <t>Product Design</t>
  </si>
  <si>
    <t>Slot 2</t>
  </si>
  <si>
    <t>Capstone</t>
  </si>
  <si>
    <t>Workshop on Additive Manufacturing (EP)</t>
  </si>
  <si>
    <t>Workshop</t>
  </si>
  <si>
    <t>3D Printing</t>
  </si>
  <si>
    <t>Slot 3</t>
  </si>
  <si>
    <t>Business &amp; Entrepreneurship</t>
  </si>
  <si>
    <t>Slot 4</t>
  </si>
  <si>
    <t>Self Work</t>
  </si>
  <si>
    <t>Tuesday</t>
  </si>
  <si>
    <t>Aryan Jain</t>
  </si>
  <si>
    <t>Circuit Topology and Digital I/O</t>
  </si>
  <si>
    <t>Embedded Systems &amp; IOT</t>
  </si>
  <si>
    <t>Components Analysing</t>
  </si>
  <si>
    <t>Circuit Test</t>
  </si>
  <si>
    <t>Component Library</t>
  </si>
  <si>
    <t>Environmental Feedback and Debouncing Logic, Advanced Timing and Event Handling</t>
  </si>
  <si>
    <t>Lab Equipment</t>
  </si>
  <si>
    <t>DC-DC</t>
  </si>
  <si>
    <t>Structured Decision Making and Sequential Logic, Data Interaction and Serial Monitoring</t>
  </si>
  <si>
    <t>Components</t>
  </si>
  <si>
    <t>Wednesday</t>
  </si>
  <si>
    <t>Richa Gupta</t>
  </si>
  <si>
    <t>Design Thinking Process - Introduction</t>
  </si>
  <si>
    <t xml:space="preserve">Design Thinking </t>
  </si>
  <si>
    <t>Ideation</t>
  </si>
  <si>
    <t>Matrix Interfaces and Access Control, Human-Machine Interfaces via LCD</t>
  </si>
  <si>
    <t>UART</t>
  </si>
  <si>
    <t>SPI</t>
  </si>
  <si>
    <t>I2C</t>
  </si>
  <si>
    <t>Spatial Awareness and Ultrasonic Measurement, Actuation and Assistive Technology</t>
  </si>
  <si>
    <t>Data Sheet</t>
  </si>
  <si>
    <t>BMS</t>
  </si>
  <si>
    <t xml:space="preserve">Thursday </t>
  </si>
  <si>
    <t>Locomotion and the H-Bridge</t>
  </si>
  <si>
    <t>DAC</t>
  </si>
  <si>
    <t>PWM</t>
  </si>
  <si>
    <t>Timer</t>
  </si>
  <si>
    <t>Autonomous Decision Loops, IR Sensing and Boundary Logic</t>
  </si>
  <si>
    <t>Debug</t>
  </si>
  <si>
    <t>Testing</t>
  </si>
  <si>
    <t xml:space="preserve">Systems Thinking </t>
  </si>
  <si>
    <t>System Level Integration and Mode Switching</t>
  </si>
  <si>
    <t>Low Power</t>
  </si>
  <si>
    <t>HW-SW optimisation</t>
  </si>
  <si>
    <t>Memory</t>
  </si>
  <si>
    <t>Interrupts</t>
  </si>
  <si>
    <t>Introduction to TRIZ</t>
  </si>
  <si>
    <t>Creativity</t>
  </si>
  <si>
    <t>Friday</t>
  </si>
  <si>
    <t>Projects</t>
  </si>
  <si>
    <t>Testing and Scaleability</t>
  </si>
  <si>
    <t>Power Supply</t>
  </si>
  <si>
    <t>Programming</t>
  </si>
  <si>
    <t>Documentation</t>
  </si>
  <si>
    <t>Git hub</t>
  </si>
  <si>
    <t>Code review</t>
  </si>
  <si>
    <t>Problem Solving</t>
  </si>
  <si>
    <t>Teamwork</t>
  </si>
  <si>
    <t>Requirements Analysis</t>
  </si>
  <si>
    <t>Test Methods</t>
  </si>
  <si>
    <t>Seq Circuits</t>
  </si>
  <si>
    <t>Saturday</t>
  </si>
  <si>
    <t>Luke Chandekar</t>
  </si>
  <si>
    <t>Developing Achievement Imagery</t>
  </si>
  <si>
    <t>Personal Leadership</t>
  </si>
  <si>
    <t>Attitude/ Mindset</t>
  </si>
  <si>
    <t>Proactiveness</t>
  </si>
  <si>
    <t>Holiday</t>
  </si>
  <si>
    <t>Sunday</t>
  </si>
  <si>
    <t>Leading Self to Excellence - Foundations</t>
  </si>
  <si>
    <t>IOT Foundations and Local Connectivity</t>
  </si>
  <si>
    <t>Wifi</t>
  </si>
  <si>
    <t>Data Flow</t>
  </si>
  <si>
    <t>Embedded Web Servers</t>
  </si>
  <si>
    <t>Security</t>
  </si>
  <si>
    <t xml:space="preserve">Interactive Web Control        </t>
  </si>
  <si>
    <t>UI/ UX</t>
  </si>
  <si>
    <t xml:space="preserve">Scaling </t>
  </si>
  <si>
    <t>Cloud Data Pipelines (ThingSpeak)</t>
  </si>
  <si>
    <t>RFID</t>
  </si>
  <si>
    <t xml:space="preserve">Prototyping </t>
  </si>
  <si>
    <t>Mobile App Integration (Blynk 2.0)</t>
  </si>
  <si>
    <t>User Experience</t>
  </si>
  <si>
    <t>Safety Systems &amp; Event Logic</t>
  </si>
  <si>
    <t>Real-time Visual Feedback</t>
  </si>
  <si>
    <t>Messaging-Based Control (Telegram Bots)</t>
  </si>
  <si>
    <t>AWS</t>
  </si>
  <si>
    <t>Voice &amp; Third-Party Integration</t>
  </si>
  <si>
    <t>Integrated Home Automation Node</t>
  </si>
  <si>
    <t>Failure Analysis</t>
  </si>
  <si>
    <t>Alok Mittal</t>
  </si>
  <si>
    <t>SmartCity Product Ideas</t>
  </si>
  <si>
    <t>Product Development</t>
  </si>
  <si>
    <t>User Need Identification</t>
  </si>
  <si>
    <t>User Research</t>
  </si>
  <si>
    <t>Market Analysis</t>
  </si>
  <si>
    <t>Dr Syed Ismail</t>
  </si>
  <si>
    <t>Agritech Products Introduction</t>
  </si>
  <si>
    <t>Agritech Products Challenges</t>
  </si>
  <si>
    <t>Dr. Suchita Markan</t>
  </si>
  <si>
    <t>MedTech Products - Intro &amp; Challenges</t>
  </si>
  <si>
    <t>Leading Self to Excellence -  Foundations</t>
  </si>
  <si>
    <t>Rohit Panwar</t>
  </si>
  <si>
    <t>Installation STMCUBE IDE</t>
  </si>
  <si>
    <t>Tool Training</t>
  </si>
  <si>
    <t>Introduction to STM32 cubeIDE</t>
  </si>
  <si>
    <t>STM32 : Think</t>
  </si>
  <si>
    <t>Industrial Design</t>
  </si>
  <si>
    <t>bare metal interface</t>
  </si>
  <si>
    <t>Ideation Session on Medtech &amp; Agritech</t>
  </si>
  <si>
    <t>Color; Intro to Prototyping Process/
DI lab Visit</t>
  </si>
  <si>
    <t>Prototyping</t>
  </si>
  <si>
    <t>Rapid Prototyping</t>
  </si>
  <si>
    <t>Self-Doubt</t>
  </si>
  <si>
    <t>Saroop Chand</t>
  </si>
  <si>
    <t>Adroitec Visit</t>
  </si>
  <si>
    <t>Electronics &amp; Basics</t>
  </si>
  <si>
    <t>Industry Visit</t>
  </si>
  <si>
    <t>Introduction to STM32 ecosystem</t>
  </si>
  <si>
    <t>Arani Bhattacharya</t>
  </si>
  <si>
    <t>Introduction to Programming</t>
  </si>
  <si>
    <t>Software &amp; App Development</t>
  </si>
  <si>
    <t>Memory Map</t>
  </si>
  <si>
    <t>STM32 : Refine</t>
  </si>
  <si>
    <t>Reliability</t>
  </si>
  <si>
    <t>Audio Basics</t>
  </si>
  <si>
    <t>Basic Components</t>
  </si>
  <si>
    <t xml:space="preserve">Basic of DSO </t>
  </si>
  <si>
    <t>Lab</t>
  </si>
  <si>
    <t xml:space="preserve">Ideation (GPT Vs Human) </t>
  </si>
  <si>
    <t>Visual Design Aspects</t>
  </si>
  <si>
    <t>Dhananjay Gadre</t>
  </si>
  <si>
    <t>Introduction to Electronic System Design from
First Principles</t>
  </si>
  <si>
    <t>Safety</t>
  </si>
  <si>
    <t>Strategy Diamond</t>
  </si>
  <si>
    <t>Vidushi Seth</t>
  </si>
  <si>
    <t>Business Model Canvas</t>
  </si>
  <si>
    <t>Pitch Deck outline</t>
  </si>
  <si>
    <t>Fusion360</t>
  </si>
  <si>
    <t>Market Research</t>
  </si>
  <si>
    <t>Raman Saxena</t>
  </si>
  <si>
    <t>Requirement gathering &amp; Analysis</t>
  </si>
  <si>
    <t>Product Pitch Session</t>
  </si>
  <si>
    <t>Idea Pitch</t>
  </si>
  <si>
    <t>Leading Self to Excellence-03</t>
  </si>
  <si>
    <t>Opamp</t>
  </si>
  <si>
    <t>ADC</t>
  </si>
  <si>
    <t>LM 358 Basic Test</t>
  </si>
  <si>
    <t>Soldering</t>
  </si>
  <si>
    <t>PCB Soldering</t>
  </si>
  <si>
    <t>PCB Mounting</t>
  </si>
  <si>
    <t>Introduction to Filters</t>
  </si>
  <si>
    <t>Idea Progression</t>
  </si>
  <si>
    <t>Foundational Topics and Passive Components</t>
  </si>
  <si>
    <t>Circuit Analysis</t>
  </si>
  <si>
    <t>Feature/ Competitive Benchmarking</t>
  </si>
  <si>
    <t xml:space="preserve">Altium Training </t>
  </si>
  <si>
    <t>PCB Schematic</t>
  </si>
  <si>
    <t>PCB Layout</t>
  </si>
  <si>
    <t>Saibal Dutt</t>
  </si>
  <si>
    <t>Low Pass Filter, High Pass Filter</t>
  </si>
  <si>
    <t>Observation of Filters, Band pass Filter</t>
  </si>
  <si>
    <t>Product Idea Refinement (Part-I)</t>
  </si>
  <si>
    <t>Product IdeaRefinement (Part-II)</t>
  </si>
  <si>
    <t>Leading Self to Excellence-04</t>
  </si>
  <si>
    <t>Intergration of Amplifier with Stethoscope on Bread Board</t>
  </si>
  <si>
    <t>Analog Signal</t>
  </si>
  <si>
    <t>Soldering Basic Components</t>
  </si>
  <si>
    <t>Soldering on Zero PCB and test Stethoscope</t>
  </si>
  <si>
    <t xml:space="preserve">Product Integration </t>
  </si>
  <si>
    <t>Practical Applications and Instrumentation</t>
  </si>
  <si>
    <t>Low Pass filter, High Pass Filter (Part-II)</t>
  </si>
  <si>
    <t>Mathematical design</t>
  </si>
  <si>
    <t>Observations of Filters</t>
  </si>
  <si>
    <t>Laser Cutting Workshop</t>
  </si>
  <si>
    <t>STM32 Basic Coding</t>
  </si>
  <si>
    <t>uc clock configuration</t>
  </si>
  <si>
    <t>Leading Self to Excellence-05</t>
  </si>
  <si>
    <t>Project with STM32</t>
  </si>
  <si>
    <t>Watchdogs</t>
  </si>
  <si>
    <t>STM Visit</t>
  </si>
  <si>
    <t>Manoj Kumar</t>
  </si>
  <si>
    <t>Product Lifecycle &amp; Market Trends</t>
  </si>
  <si>
    <t>System Thinking &amp; System Design (Part 1)</t>
  </si>
  <si>
    <t>Design Thinking</t>
  </si>
  <si>
    <t>Systems Thinking &amp; System Design, (Part2)</t>
  </si>
  <si>
    <t xml:space="preserve">Contextualization </t>
  </si>
  <si>
    <t>Collaboration</t>
  </si>
  <si>
    <t>Assignment and Code Optimisation</t>
  </si>
  <si>
    <t>Communication Skills</t>
  </si>
  <si>
    <t>DMA</t>
  </si>
  <si>
    <t>RESET</t>
  </si>
  <si>
    <t>Analog Filters Revision/Doubts</t>
  </si>
  <si>
    <t>Self Doubts</t>
  </si>
  <si>
    <t>AWS IoT Setup and MQTT Connection</t>
  </si>
  <si>
    <t>Compound Wireless</t>
  </si>
  <si>
    <t>USB</t>
  </si>
  <si>
    <t>Usability and Accessibility (Part-1)</t>
  </si>
  <si>
    <t xml:space="preserve">Usability </t>
  </si>
  <si>
    <t>Usability Testing</t>
  </si>
  <si>
    <t>Sensor Integration</t>
  </si>
  <si>
    <t>Bidirectional MQTT</t>
  </si>
  <si>
    <t>HW-SW Codesign</t>
  </si>
  <si>
    <t>Leading Self to Excellence-06 &amp; 07</t>
  </si>
  <si>
    <t>Priority Management</t>
  </si>
  <si>
    <t>Power Supply Design and Electronic Demonstration</t>
  </si>
  <si>
    <t>AC-DC</t>
  </si>
  <si>
    <t>Setup Filter Mobile App</t>
  </si>
  <si>
    <t>App Design</t>
  </si>
  <si>
    <t>Free RTOS with STM32</t>
  </si>
  <si>
    <t>RTOS</t>
  </si>
  <si>
    <t>Bare Metal</t>
  </si>
  <si>
    <t>Emulation of Micro-controllers on Laptop</t>
  </si>
  <si>
    <t>Emulation</t>
  </si>
  <si>
    <t>Accessibility</t>
  </si>
  <si>
    <t>NA</t>
  </si>
  <si>
    <t>Leading Self to Excellence-08</t>
  </si>
  <si>
    <t>Capstone Project Development Flow</t>
  </si>
  <si>
    <t xml:space="preserve">Self work </t>
  </si>
  <si>
    <t>Problem Statement Designing</t>
  </si>
  <si>
    <t>Vinay Taneja</t>
  </si>
  <si>
    <t>Basic Movement Control</t>
  </si>
  <si>
    <t>Obstacle Avoidance</t>
  </si>
  <si>
    <t xml:space="preserve">Planning/Screening </t>
  </si>
  <si>
    <t>Design Doc</t>
  </si>
  <si>
    <t>circuit design</t>
  </si>
  <si>
    <t>Circuit Simulation</t>
  </si>
  <si>
    <t>Battery</t>
  </si>
  <si>
    <t>Pitch Framework</t>
  </si>
  <si>
    <t xml:space="preserve">layout design </t>
  </si>
  <si>
    <t>Vendor Selection</t>
  </si>
  <si>
    <t>pcb design</t>
  </si>
  <si>
    <t>pcb verify</t>
  </si>
  <si>
    <t>Leading Self to Excellence-09</t>
  </si>
  <si>
    <t>Capstone Project Development Review</t>
  </si>
  <si>
    <t>Spectrum Analyser</t>
  </si>
  <si>
    <t xml:space="preserve">Project Management Plan &amp; Requirement Specification </t>
  </si>
  <si>
    <t>Basic Rtos</t>
  </si>
  <si>
    <t>Altium Worshop</t>
  </si>
  <si>
    <t>Basic FreeRtos</t>
  </si>
  <si>
    <t>Feedback on E-pitch</t>
  </si>
  <si>
    <t>Advance FreeRTOS</t>
  </si>
  <si>
    <t xml:space="preserve">Pranav Bansal </t>
  </si>
  <si>
    <t>Raising an interrupt, Volatile keyword</t>
  </si>
  <si>
    <t>Ideathon &amp; Productathon</t>
  </si>
  <si>
    <t>Lippika Parwani</t>
  </si>
  <si>
    <t>Amit Bhansali</t>
  </si>
  <si>
    <t xml:space="preserve">Mini Project </t>
  </si>
  <si>
    <t>SUM of Duration</t>
  </si>
  <si>
    <t>&lt;5</t>
  </si>
  <si>
    <t>&gt;10</t>
  </si>
  <si>
    <t>&gt;20</t>
  </si>
  <si>
    <t>&gt;30</t>
  </si>
  <si>
    <t>&gt;40</t>
  </si>
  <si>
    <t>Self</t>
  </si>
  <si>
    <t>Grand Total</t>
  </si>
  <si>
    <t>Category</t>
  </si>
  <si>
    <t>Skills</t>
  </si>
  <si>
    <t>Details (Knowledge)</t>
  </si>
  <si>
    <t>Embedded Systems and IoT</t>
  </si>
  <si>
    <t>Microcontroller</t>
  </si>
  <si>
    <t xml:space="preserve">Bare metal Drivers in embedded C </t>
  </si>
  <si>
    <t>GPIO &amp; basic peripherals (SPI, I2C, UART, USB, ethernet, RS232/RS422)</t>
  </si>
  <si>
    <t>CAN</t>
  </si>
  <si>
    <t>Ethernet</t>
  </si>
  <si>
    <t>RS232/RS422</t>
  </si>
  <si>
    <t>Datasheet reading/reference manuals/pinout mapping (Alternate functions in uC)</t>
  </si>
  <si>
    <t>Analysing various analog and digital components (passive, clock devices, connectors)</t>
  </si>
  <si>
    <t>ADC (subsystem in uC)</t>
  </si>
  <si>
    <t>DMA (subsystem in uC)</t>
  </si>
  <si>
    <t>DAC (subsystem in uC)</t>
  </si>
  <si>
    <t>Timer  (subsystem in uC)</t>
  </si>
  <si>
    <t xml:space="preserve">Debugging </t>
  </si>
  <si>
    <t xml:space="preserve">Reset, Clock control (RCC) </t>
  </si>
  <si>
    <t xml:space="preserve">Interrupts </t>
  </si>
  <si>
    <t>Low power modes</t>
  </si>
  <si>
    <t xml:space="preserve">Free-RTOS </t>
  </si>
  <si>
    <t>Wireless Technologies</t>
  </si>
  <si>
    <t xml:space="preserve">Wifi </t>
  </si>
  <si>
    <t>BLE</t>
  </si>
  <si>
    <t xml:space="preserve">Bluetooth </t>
  </si>
  <si>
    <t>Zigbee</t>
  </si>
  <si>
    <t xml:space="preserve">ZigBee </t>
  </si>
  <si>
    <t xml:space="preserve">RFID </t>
  </si>
  <si>
    <t>GPS</t>
  </si>
  <si>
    <t xml:space="preserve">GPS (Note - GPS is not wireless tech.) </t>
  </si>
  <si>
    <t>Antenna</t>
  </si>
  <si>
    <t>Combination of above tech (Wifi + BLE + ..)</t>
  </si>
  <si>
    <t>Electronics and Basics</t>
  </si>
  <si>
    <t>Basic Electronics</t>
  </si>
  <si>
    <t>Testing a simple crkt using lab equipment</t>
  </si>
  <si>
    <t>Using lab equipments like Power Supply/ 
Multimeter/ CRO / Spectrum Analyser</t>
  </si>
  <si>
    <t>Circuit simulation using simulators</t>
  </si>
  <si>
    <t>Study &amp; verifyProperties &amp;  functions of following : 
resistor, capacitor, Inductors, Potentiometers, 
Thermistor, LDR, Diodes, Inductor, MOSFET,
BJTs. (Using datasheet for verification)</t>
  </si>
  <si>
    <t>Design and test circuits like 555 oscillator</t>
  </si>
  <si>
    <t xml:space="preserve">Studying various Digital ICs and their applications  </t>
  </si>
  <si>
    <t xml:space="preserve">Design a sequential crkt on paper </t>
  </si>
  <si>
    <t>Details of various memory components like 
DDRx, NAND Flash, SRAM, ROM/OTP, eMMC, 
SD Card</t>
  </si>
  <si>
    <t xml:space="preserve">DC-DC converter </t>
  </si>
  <si>
    <t>Covered (Yes/ NO)</t>
  </si>
  <si>
    <t>When all?</t>
  </si>
  <si>
    <t>Battery management</t>
  </si>
  <si>
    <t>Rechargeable batteries - basics &amp; theory, form factor
selection criteria, datasheet walkthrough</t>
  </si>
  <si>
    <t xml:space="preserve">Design of Battery charger </t>
  </si>
  <si>
    <t>Teams splitting based on battery usecase - personal,
mobility etc.</t>
  </si>
  <si>
    <t xml:space="preserve">FPGAs/ DSP </t>
  </si>
  <si>
    <t>FPGA-DSP</t>
  </si>
  <si>
    <t>Intro, architecture, usage, documentation</t>
  </si>
  <si>
    <t>FPGA-ToolChain</t>
  </si>
  <si>
    <t xml:space="preserve">SW: OS + APP + Tool chain (Dev. flow) </t>
  </si>
  <si>
    <t xml:space="preserve">HW-SW codesign, compare solutions for uC/uP/
FPGA and finalise the combo of any of them </t>
  </si>
  <si>
    <t>PCB Design</t>
  </si>
  <si>
    <t xml:space="preserve">PCB basics </t>
  </si>
  <si>
    <t xml:space="preserve">PCB layout basics </t>
  </si>
  <si>
    <t xml:space="preserve">Learning allegro tool </t>
  </si>
  <si>
    <t xml:space="preserve">Electromechanical design aspects and understanding 
real life PCB mounting </t>
  </si>
  <si>
    <t>BOM</t>
  </si>
  <si>
    <t>Schematic design flow - schematic guidlines, netlist,
 PCB layout, BOM gen., shielding &amp; grounding (Tool 
used is ORCAD</t>
  </si>
  <si>
    <t xml:space="preserve">Create component library </t>
  </si>
  <si>
    <t xml:space="preserve">Selecting PCB layout vendor and create document 
for vendor when outsourcing </t>
  </si>
  <si>
    <t>PCB Fabrication</t>
  </si>
  <si>
    <t>PCB fabrication process</t>
  </si>
  <si>
    <t xml:space="preserve">Selecting PCB fabrication vendor &amp; interface with it </t>
  </si>
  <si>
    <t xml:space="preserve">PCB assembly </t>
  </si>
  <si>
    <t>Product design basics</t>
  </si>
  <si>
    <t xml:space="preserve">Principles of design </t>
  </si>
  <si>
    <t>mechanical and enclosure design (thermal, DFM, DFA)</t>
  </si>
  <si>
    <t>Testing, failure analysis</t>
  </si>
  <si>
    <t>DFM</t>
  </si>
  <si>
    <t xml:space="preserve">Manufacturing startegies </t>
  </si>
  <si>
    <t>Certifications</t>
  </si>
  <si>
    <t>Commercial readiness of a Product (regulatory approval)</t>
  </si>
  <si>
    <t xml:space="preserve">Scaling-up of product in market </t>
  </si>
  <si>
    <t>Prototyping strategies - physical, digital, service</t>
  </si>
  <si>
    <t>Tools - 3D printing</t>
  </si>
  <si>
    <t xml:space="preserve">Tools - Figma for UI/UX </t>
  </si>
  <si>
    <t>Industry Immersion</t>
  </si>
  <si>
    <t xml:space="preserve">Case studies &amp; industrial vs consumer electronics </t>
  </si>
  <si>
    <t>Team challenge - IOT electronic device prototyping</t>
  </si>
  <si>
    <t xml:space="preserve">Testing </t>
  </si>
  <si>
    <t xml:space="preserve">Testing methodologies </t>
  </si>
  <si>
    <t xml:space="preserve">Iterating based on feedback (loops) </t>
  </si>
  <si>
    <t>DFT</t>
  </si>
  <si>
    <t xml:space="preserve">Usability tests and refining prototypes </t>
  </si>
  <si>
    <t>Product-System Design</t>
  </si>
  <si>
    <t>Arch Design</t>
  </si>
  <si>
    <t xml:space="preserve">System architecture design </t>
  </si>
  <si>
    <t xml:space="preserve">POC </t>
  </si>
  <si>
    <t xml:space="preserve">Firmware design - uC &amp; interfaces if any (preparing desi-
gn doc) </t>
  </si>
  <si>
    <t xml:space="preserve">ICs connected to uC via expansion boards (flow chart, 
data flow, </t>
  </si>
  <si>
    <t xml:space="preserve">Detailed design of HW architecture </t>
  </si>
  <si>
    <t>Tamper detection</t>
  </si>
  <si>
    <t>uC-Battery</t>
  </si>
  <si>
    <t xml:space="preserve">Battery domain of the uC </t>
  </si>
  <si>
    <t xml:space="preserve">RTC </t>
  </si>
  <si>
    <t xml:space="preserve">Reliable communication in the perspective of uC </t>
  </si>
  <si>
    <t>Software &amp; App Dev</t>
  </si>
  <si>
    <t>uC Application dev - GUI interface, console</t>
  </si>
  <si>
    <t xml:space="preserve">Android app dev basics </t>
  </si>
  <si>
    <t xml:space="preserve">Android app for IOT and interfacing with baremetal OS </t>
  </si>
  <si>
    <t xml:space="preserve">Cloud / Application Layer - AWS IOT </t>
  </si>
  <si>
    <t>IoT Protocols &amp; Cloud Integration Layer - MQTT</t>
  </si>
  <si>
    <t>EMS</t>
  </si>
  <si>
    <t>Assembly</t>
  </si>
  <si>
    <t>EMS intro - ( SMT Line Process,  PTH Process and Final
 Assembly ). Type of production- proto/prod/pilot</t>
  </si>
  <si>
    <t xml:space="preserve"> 
Critical Issues, Checking Quality during PCB Assembly</t>
  </si>
  <si>
    <t>Selecting EMS, and interface with it for PCB assembly</t>
  </si>
  <si>
    <t>Human-Centered Design</t>
  </si>
  <si>
    <t>Understanding user needs, motivations, and pain points.</t>
  </si>
  <si>
    <t>Empathy mapping and journey mapping.</t>
  </si>
  <si>
    <t>Inclusive and accessible design principles.</t>
  </si>
  <si>
    <t>Problem framing and re-framing.</t>
  </si>
  <si>
    <t>Experimentation and co-creation with users.</t>
  </si>
  <si>
    <t>Balancing desirability, feasibility, and viability.</t>
  </si>
  <si>
    <t>Interaction Design (ixD)</t>
  </si>
  <si>
    <t xml:space="preserve">Designing Human Interface </t>
  </si>
  <si>
    <t>Designing intuitive interactions between humans and intelligent systems.</t>
  </si>
  <si>
    <t>Affordances, feedback, constraints, and mappings</t>
  </si>
  <si>
    <t>Cognitive Modela, Human-Action Cycle (HAC), Task Flows and Task Modelling</t>
  </si>
  <si>
    <t>Visual hierarchy, Information Architecture, Interaction Models, Wireframes</t>
  </si>
  <si>
    <t>Feedback loops, affordances, and constraints in interfaces.</t>
  </si>
  <si>
    <t>Context-aware &amp; Untutive interaction (voice, gesture, haptics, AR/VR).</t>
  </si>
  <si>
    <t>Conversational and multimodal interaction design.</t>
  </si>
  <si>
    <t>Experience Design (XD)</t>
  </si>
  <si>
    <t xml:space="preserve">Design for Engagement (Game Design) </t>
  </si>
  <si>
    <t>Designing for emotion, aesthetics, and delight.</t>
  </si>
  <si>
    <t>Creating seamless omnichannel experiences.</t>
  </si>
  <si>
    <t>Storytelling, Narrative Building.</t>
  </si>
  <si>
    <t>Visual and Interface Design</t>
  </si>
  <si>
    <t>Designing clear, minimal, and consistent UIs for intelligent feedback.</t>
  </si>
  <si>
    <t xml:space="preserve">Visual Design Aspects </t>
  </si>
  <si>
    <t>Typography, color, layout, and iconography</t>
  </si>
  <si>
    <t>Use of motion, animation, and microinteractions to convey system state.</t>
  </si>
  <si>
    <t>Adaptive and dynamic UI systems.</t>
  </si>
  <si>
    <t>Cognitive &amp; Behavioral Design</t>
  </si>
  <si>
    <t>Understanding human cognition, attention, and decision-making.</t>
  </si>
  <si>
    <t>Designing for trust, transparency, and explainability in intelligent systems.</t>
  </si>
  <si>
    <t>Behavioral nudges, persuasive design, and habit formation</t>
  </si>
  <si>
    <t>System Thinking</t>
  </si>
  <si>
    <t>Understanding interconnections between product, user, data, and environment.</t>
  </si>
  <si>
    <t>Designing for scalability, adaptability, and emergent behaviors.</t>
  </si>
  <si>
    <t>Mapping causal relationships and feedback loops.</t>
  </si>
  <si>
    <t>Integration of hardware, software, and intelligence layers.</t>
  </si>
  <si>
    <t>Sensor and IoT design for data collection.</t>
  </si>
  <si>
    <t>Designing adaptive and self-learning physical products.</t>
  </si>
  <si>
    <t>Contextual &amp; Environmental Design</t>
  </si>
  <si>
    <t>Designing products that adapt to context (location, user state, environment).</t>
  </si>
  <si>
    <t>Sustainability and lifecycle thinking.</t>
  </si>
  <si>
    <t>Designing for physical + digital ecosystems (Phygital design).</t>
  </si>
  <si>
    <t>Design for Data</t>
  </si>
  <si>
    <t>Understanding how data shapes design decisions.</t>
  </si>
  <si>
    <t>Data visualization, storytelling, and dashboard design.</t>
  </si>
  <si>
    <t>Ethical data collection and user consent design.</t>
  </si>
  <si>
    <t>AIxDesign (Designing for AI)</t>
  </si>
  <si>
    <t>Basics of AI, ML, and data-driven systems</t>
  </si>
  <si>
    <t xml:space="preserve">AIxDesign </t>
  </si>
  <si>
    <t>Designing human-AI collaboration</t>
  </si>
  <si>
    <t>Explainable and transparent AI interfaces</t>
  </si>
  <si>
    <t>Ethical &amp; Responsible Design</t>
  </si>
  <si>
    <t>Designing for privacy and user agency</t>
  </si>
  <si>
    <t>Algorithmic fairness, transparency, and human oversight</t>
  </si>
  <si>
    <t>Ethical implications of automation and data use</t>
  </si>
  <si>
    <t xml:space="preserve">Usabillity Engineering </t>
  </si>
  <si>
    <t>Concept of Usability such as learnability, affordance, cognitive load etc.</t>
  </si>
  <si>
    <t>Context of Use, User and Task Analysis</t>
  </si>
  <si>
    <t>Usability Goals and Metrics</t>
  </si>
  <si>
    <t>User/Design Research</t>
  </si>
  <si>
    <t xml:space="preserve">User Research Tools like, Interview, Surveys, Contextual Inquiry, etc. </t>
  </si>
  <si>
    <t>Persona Building, User Journey Map,  Empathy Maps</t>
  </si>
  <si>
    <t>Industrial/Form Factor Design</t>
  </si>
  <si>
    <t xml:space="preserve">Form Design </t>
  </si>
  <si>
    <t>Fitt for the physical and cognitive abilities of the user.</t>
  </si>
  <si>
    <t>Understand Human anthropometry posture, reach, and motion.</t>
  </si>
  <si>
    <t>Ensure comfort, safety, and ease of handling during operation, maintenance, or transport.</t>
  </si>
  <si>
    <t>Balance between design vision and production practicality.</t>
  </si>
  <si>
    <t xml:space="preserve">Form for electronics and electronics for form </t>
  </si>
  <si>
    <t>Consider the entire product lifecycle: sourcing → manufacturing → use → end-of-life.</t>
  </si>
  <si>
    <t>ncorporate circular design principles — reuse, remanufacture, and redesign</t>
  </si>
  <si>
    <t>Ideating/Ideation</t>
  </si>
  <si>
    <t>Divergent thinking — brainstorming, sketching, mind mapping, role playing, or using analogies.</t>
  </si>
  <si>
    <t>Ideation tools like Opposite Thinking, Analogy, What if etc.</t>
  </si>
  <si>
    <t>Rapid Prototyping Tools</t>
  </si>
  <si>
    <t xml:space="preserve">Digital and Physial Prototyping tools </t>
  </si>
  <si>
    <t xml:space="preserve">Ergonomics &amp; Human Factors </t>
  </si>
  <si>
    <t>Ergonomics</t>
  </si>
  <si>
    <t>Design for the body’s capabilities, limitations, and comfort</t>
  </si>
  <si>
    <t>Human Factors</t>
  </si>
  <si>
    <t>Apply human information processing models (sensation → perception → action)</t>
  </si>
  <si>
    <t>Design for clarity, feedback, and error prevention.</t>
  </si>
  <si>
    <t>Focus on safety, efficiency, and human reliability in socio-technical systems.</t>
  </si>
  <si>
    <t>Usability Evaluation/Testing</t>
  </si>
  <si>
    <t>Usability Testing Mentods inclusing Heuristcs Evaluation, Expert Review, Usability Teasting</t>
  </si>
  <si>
    <t>Designing Test cases, Testing protocols, Data analysis, Reccommendations</t>
  </si>
  <si>
    <t xml:space="preserve">Power </t>
  </si>
  <si>
    <t>DC-DC converter overview</t>
  </si>
  <si>
    <t xml:space="preserve">DC-DC converte board power architectures and solutions </t>
  </si>
  <si>
    <t>Buck Converter</t>
  </si>
  <si>
    <t xml:space="preserve">Design DC-DC converter: buck converters (labs) </t>
  </si>
  <si>
    <t>Buck-Boost</t>
  </si>
  <si>
    <t>DC-DC Converters: Overviw Boost &amp; Buck-Boost Converters</t>
  </si>
  <si>
    <t>AC-DC, Safeguarding against AC noise and surges</t>
  </si>
  <si>
    <t>Digital Signal</t>
  </si>
  <si>
    <t>Entrepreneurship</t>
  </si>
  <si>
    <t>Business &amp; Leadership</t>
  </si>
  <si>
    <t>Program Management</t>
  </si>
  <si>
    <t>Planning Fundamentals</t>
  </si>
  <si>
    <t>Business and Leadership</t>
  </si>
  <si>
    <t>Assertiveness</t>
  </si>
  <si>
    <t>Time Management</t>
  </si>
  <si>
    <t>Discipline</t>
  </si>
  <si>
    <t>Elevator Pitch</t>
  </si>
  <si>
    <t>Clock configuration</t>
  </si>
  <si>
    <t>GIT HUB</t>
  </si>
  <si>
    <t>Documentation Writing</t>
  </si>
  <si>
    <t>OTA</t>
  </si>
  <si>
    <t>Programming Basic</t>
  </si>
  <si>
    <t>Memory map</t>
  </si>
  <si>
    <t>Design and use power supply</t>
  </si>
  <si>
    <t>YES</t>
  </si>
  <si>
    <t>COUNTA of NO</t>
  </si>
  <si>
    <t>NO</t>
  </si>
  <si>
    <t>Name</t>
  </si>
  <si>
    <t>Years of Experience</t>
  </si>
  <si>
    <t>Experience Range</t>
  </si>
  <si>
    <t>Ramendra Baoni</t>
  </si>
  <si>
    <t>Amit Gupta</t>
  </si>
  <si>
    <t>Tarun Shekhar</t>
  </si>
  <si>
    <t>Manish Verma</t>
  </si>
  <si>
    <t>&gt;50</t>
  </si>
  <si>
    <t>Nipun Padha</t>
  </si>
  <si>
    <t>Rahul Gupta</t>
  </si>
  <si>
    <t>Abhishek</t>
  </si>
  <si>
    <t>&gt;5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</si>
</sst>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-mmm-yyyy"/>
    <numFmt numFmtId="165" formatCode="d m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222222"/>
      <name val="Arial"/>
    </font>
    <font>
      <b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3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3" xfId="0" applyFont="1" applyNumberFormat="1"/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top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vertical="top"/>
    </xf>
    <xf borderId="0" fillId="0" fontId="5" numFmtId="0" xfId="0" applyAlignment="1" applyFont="1">
      <alignment vertical="top"/>
    </xf>
    <xf borderId="0" fillId="0" fontId="5" numFmtId="0" xfId="0" applyAlignment="1" applyFont="1">
      <alignment readingOrder="0" vertical="top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top"/>
    </xf>
    <xf borderId="0" fillId="0" fontId="2" numFmtId="165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Split across Experience (Lectures) (by duration) - until Week 8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'Top Level Pivot Table'!$A$2:$A$8</c:f>
            </c:strRef>
          </c:cat>
          <c:val>
            <c:numRef>
              <c:f>'Top Level Pivot Table'!$B$2:$B$8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val>
            <c:numRef>
              <c:f>'Top Level Pivot Table'!$E$32</c:f>
              <c:numCache/>
            </c:numRef>
          </c:val>
        </c:ser>
        <c:overlap val="100"/>
        <c:axId val="1217484000"/>
        <c:axId val="370732549"/>
      </c:barChart>
      <c:catAx>
        <c:axId val="1217484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0732549"/>
      </c:catAx>
      <c:valAx>
        <c:axId val="370732549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2174840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Topics Coverage - 8-week</a:t>
            </a:r>
          </a:p>
        </c:rich>
      </c:tx>
      <c:overlay val="0"/>
    </c:title>
    <c:plotArea>
      <c:layout>
        <c:manualLayout>
          <c:xMode val="edge"/>
          <c:yMode val="edge"/>
          <c:x val="0.09206901041666668"/>
          <c:y val="0.15498652291105122"/>
          <c:w val="0.8770143229166668"/>
          <c:h val="0.477088948787062"/>
        </c:manualLayout>
      </c:layout>
      <c:barChart>
        <c:barDir val="col"/>
        <c:grouping val="percentStacked"/>
        <c:ser>
          <c:idx val="0"/>
          <c:order val="0"/>
          <c:spPr>
            <a:solidFill>
              <a:schemeClr val="accent2"/>
            </a:solidFill>
            <a:ln cmpd="sng">
              <a:solidFill>
                <a:schemeClr val="accent2"/>
              </a:solidFill>
            </a:ln>
          </c:spPr>
          <c:cat>
            <c:strRef>
              <c:f>'Skills Pivot Table'!$A$3:$A$9</c:f>
            </c:strRef>
          </c:cat>
          <c:val>
            <c:numRef>
              <c:f>'Skills Pivot Table'!$C$3:$C$9</c:f>
              <c:numCache/>
            </c:numRef>
          </c:val>
        </c:ser>
        <c:ser>
          <c:idx val="1"/>
          <c:order val="1"/>
          <c:spPr>
            <a:solidFill>
              <a:schemeClr val="accent4"/>
            </a:solidFill>
            <a:ln cmpd="sng">
              <a:solidFill>
                <a:schemeClr val="accent4"/>
              </a:solidFill>
            </a:ln>
          </c:spPr>
          <c:cat>
            <c:strRef>
              <c:f>'Skills Pivot Table'!$A$3:$A$9</c:f>
            </c:strRef>
          </c:cat>
          <c:val>
            <c:numRef>
              <c:f>'Skills Pivot Table'!$D$3:$D$9</c:f>
              <c:numCache/>
            </c:numRef>
          </c:val>
        </c:ser>
        <c:overlap val="100"/>
        <c:axId val="1423853546"/>
        <c:axId val="2068720124"/>
      </c:barChart>
      <c:catAx>
        <c:axId val="14238535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8720124"/>
      </c:catAx>
      <c:valAx>
        <c:axId val="20687201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3853546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238125</xdr:colOff>
      <xdr:row>10</xdr:row>
      <xdr:rowOff>85725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47625</xdr:colOff>
      <xdr:row>30</xdr:row>
      <xdr:rowOff>104775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466725</xdr:colOff>
      <xdr:row>11</xdr:row>
      <xdr:rowOff>38100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M243" sheet="main"/>
  </cacheSource>
  <cacheFields>
    <cacheField name="Week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</sharedItems>
    </cacheField>
    <cacheField name="Date" numFmtId="164">
      <sharedItems containsSemiMixedTypes="0" containsDate="1" containsString="0">
        <d v="2026-01-05T00:00:00Z"/>
        <d v="2026-01-06T00:00:00Z"/>
        <d v="2026-01-07T00:00:00Z"/>
        <d v="2026-01-08T00:00:00Z"/>
        <d v="2026-01-09T00:00:00Z"/>
        <d v="2026-01-10T00:00:00Z"/>
        <d v="2026-01-11T00:00:00Z"/>
        <d v="2026-01-12T00:00:00Z"/>
        <d v="2026-01-13T00:00:00Z"/>
        <d v="2026-01-14T00:00:00Z"/>
        <d v="2026-01-15T00:00:00Z"/>
        <d v="2026-01-16T00:00:00Z"/>
        <d v="2026-01-17T00:00:00Z"/>
        <d v="2026-01-18T00:00:00Z"/>
        <d v="2026-01-19T00:00:00Z"/>
        <d v="2026-01-20T00:00:00Z"/>
        <d v="2026-01-21T00:00:00Z"/>
        <d v="2026-01-22T00:00:00Z"/>
        <d v="2026-01-23T00:00:00Z"/>
        <d v="2026-01-24T00:00:00Z"/>
        <d v="2026-01-25T00:00:00Z"/>
        <d v="2026-01-26T00:00:00Z"/>
        <d v="2026-01-27T00:00:00Z"/>
        <d v="2026-01-28T00:00:00Z"/>
        <d v="2026-01-29T00:00:00Z"/>
        <d v="2026-01-30T00:00:00Z"/>
        <d v="2026-01-31T00:00:00Z"/>
        <d v="2026-02-01T00:00:00Z"/>
        <d v="2026-02-02T00:00:00Z"/>
        <d v="2026-02-03T00:00:00Z"/>
        <d v="2026-02-04T00:00:00Z"/>
        <d v="2026-02-05T00:00:00Z"/>
        <d v="2026-02-06T00:00:00Z"/>
        <d v="2026-02-07T00:00:00Z"/>
        <d v="2026-02-08T00:00:00Z"/>
        <d v="2026-02-09T00:00:00Z"/>
        <d v="2026-02-10T00:00:00Z"/>
        <d v="2026-02-11T00:00:00Z"/>
        <d v="2026-02-12T00:00:00Z"/>
        <d v="2026-02-13T00:00:00Z"/>
        <d v="2026-02-14T00:00:00Z"/>
        <d v="2026-02-15T00:00:00Z"/>
        <d v="2026-02-16T00:00:00Z"/>
        <d v="2026-02-17T00:00:00Z"/>
        <d v="2026-02-18T00:00:00Z"/>
        <d v="2026-02-19T00:00:00Z"/>
        <d v="2026-02-20T00:00:00Z"/>
        <d v="2026-02-21T00:00:00Z"/>
        <d v="2026-02-22T00:00:00Z"/>
        <d v="2026-02-23T00:00:00Z"/>
        <d v="2026-02-24T00:00:00Z"/>
        <d v="2026-02-25T00:00:00Z"/>
        <d v="2026-02-26T00:00:00Z"/>
        <d v="2026-02-27T00:00:00Z"/>
        <d v="2026-02-28T00:00:00Z"/>
        <d v="2026-03-01T00:00:00Z"/>
        <d v="2026-03-02T00:00:00Z"/>
        <d v="2026-03-03T00:00:00Z"/>
        <d v="2026-03-04T00:00:00Z"/>
        <d v="2026-03-05T00:00:00Z"/>
        <d v="2026-03-06T00:00:00Z"/>
      </sharedItems>
    </cacheField>
    <cacheField name="Day" numFmtId="0">
      <sharedItems>
        <s v="Monday"/>
        <s v="Tuesday"/>
        <s v="Wednesday"/>
        <s v="Thursday "/>
        <s v="Friday"/>
        <s v="Saturday"/>
        <s v="Sunday"/>
      </sharedItems>
    </cacheField>
    <cacheField name="Slot" numFmtId="0">
      <sharedItems>
        <s v="Slot 1"/>
        <s v="Slot 2"/>
        <s v="Slot 3"/>
        <s v="Slot 4"/>
      </sharedItems>
    </cacheField>
    <cacheField name="Instructor" numFmtId="0">
      <sharedItems>
        <s v="Anuj Grover"/>
        <s v="Capstone"/>
        <s v="Aryan Jain"/>
        <s v="Richa Gupta"/>
        <s v="Luke Chandekar"/>
        <s v="Holiday"/>
        <s v="Alok Mittal"/>
        <s v="Dr Syed Ismail"/>
        <s v="Dr. Suchita Markan"/>
        <s v="Rohit Panwar"/>
        <s v="Saroop Chand"/>
        <s v="Arani Bhattacharya"/>
        <s v="Dhananjay Gadre"/>
        <s v="Vidushi Seth"/>
        <s v="Raman Saxena"/>
        <s v="Saibal Dutt"/>
        <s v="Manoj Kumar"/>
      </sharedItems>
    </cacheField>
    <cacheField name="Instructor Experience" numFmtId="0">
      <sharedItems containsBlank="1">
        <s v="&gt;20"/>
        <s v="Self"/>
        <s v="&lt;5"/>
        <s v="&gt;10"/>
        <m/>
        <s v="&gt;40"/>
        <s v="&gt;30"/>
      </sharedItems>
    </cacheField>
    <cacheField name="Instructor Review" numFmtId="0">
      <sharedItems>
        <s v=""/>
        <s v="NA"/>
      </sharedItems>
    </cacheField>
    <cacheField name="Class Attendance" numFmtId="0">
      <sharedItems>
        <s v=""/>
        <s v="NA"/>
      </sharedItems>
    </cacheField>
    <cacheField name="Topic / Module" numFmtId="0">
      <sharedItems containsBlank="1">
        <s v="Introduction to iPD-CP and PDLC"/>
        <s v="Workshop on Additive Manufacturing (EP)"/>
        <m/>
        <s v="Circuit Topology and Digital I/O"/>
        <s v="Environmental Feedback and Debouncing Logic, Advanced Timing and Event Handling"/>
        <s v="Structured Decision Making and Sequential Logic, Data Interaction and Serial Monitoring"/>
        <s v="Design Thinking Process - Introduction"/>
        <s v="Matrix Interfaces and Access Control, Human-Machine Interfaces via LCD"/>
        <s v="Spatial Awareness and Ultrasonic Measurement, Actuation and Assistive Technology"/>
        <s v="Locomotion and the H-Bridge"/>
        <s v="Autonomous Decision Loops, IR Sensing and Boundary Logic"/>
        <s v="System Level Integration and Mode Switching"/>
        <s v="Introduction to TRIZ"/>
        <s v="Projects"/>
        <s v="Developing Achievement Imagery"/>
        <s v="NA"/>
        <s v="Leading Self to Excellence - Foundations"/>
        <s v="IOT Foundations and Local Connectivity"/>
        <s v="Embedded Web Servers"/>
        <s v="Interactive Web Control        "/>
        <s v="Cloud Data Pipelines (ThingSpeak)"/>
        <s v="Mobile App Integration (Blynk 2.0)"/>
        <s v="Safety Systems &amp; Event Logic"/>
        <s v="Real-time Visual Feedback"/>
        <s v="Messaging-Based Control (Telegram Bots)"/>
        <s v="Voice &amp; Third-Party Integration"/>
        <s v="Integrated Home Automation Node"/>
        <s v="SmartCity Product Ideas"/>
        <s v="Agritech Products Introduction"/>
        <s v="Agritech Products Challenges"/>
        <s v="MedTech Products - Intro &amp; Challenges"/>
        <s v="Leading Self to Excellence -  Foundations"/>
        <s v="Installation STMCUBE IDE"/>
        <s v="Introduction to STM32 cubeIDE"/>
        <s v="STM32 : Think"/>
        <s v="Ideation Session on Medtech &amp; Agritech"/>
        <s v="Color; Intro to Prototyping Process/&#10;DI lab Visit"/>
        <s v="Self-Doubt"/>
        <s v="Adroitec Visit"/>
        <s v="Introduction to STM32 ecosystem"/>
        <s v="Introduction to Programming"/>
        <s v="STM32 : Refine"/>
        <s v="Audio Basics"/>
        <s v="Basic Components"/>
        <s v="Basic of DSO "/>
        <s v="Ideation (GPT Vs Human) "/>
        <s v="Introduction to Electronic System Design from&#10;First Principles"/>
        <s v="Strategy Diamond"/>
        <s v="Business Model Canvas"/>
        <s v="Pitch Deck outline"/>
        <s v="Fusion360"/>
        <s v="Programming"/>
        <s v="Market Research"/>
        <s v="Requirement gathering &amp; Analysis"/>
        <s v="Product Pitch Session"/>
        <s v="Leading Self to Excellence-03"/>
        <s v="Opamp"/>
        <s v="LM 358 Basic Test"/>
        <s v="Soldering"/>
        <s v="Introduction to Filters"/>
        <s v="Idea Progression"/>
        <s v="Foundational Topics and Passive Components"/>
        <s v="Feature/ Competitive Benchmarking"/>
        <s v="Altium Training "/>
        <s v="Low Pass Filter, High Pass Filter"/>
        <s v="Observation of Filters, Band pass Filter"/>
        <s v="Product Idea Refinement (Part-I)"/>
        <s v="Product IdeaRefinement (Part-II)"/>
        <s v="Leading Self to Excellence-04"/>
        <s v="Intergration of Amplifier with Stethoscope on Bread Board"/>
        <s v="Soldering Basic Components"/>
        <s v="Soldering on Zero PCB and test Stethoscope"/>
        <s v="Practical Applications and Instrumentation"/>
        <s v="Low Pass filter, High Pass Filter (Part-II)"/>
        <s v="Observations of Filters"/>
        <s v="Laser Cutting Workshop"/>
        <s v="STM32 Basic Coding"/>
        <s v="Leading Self to Excellence-05"/>
        <s v="Project with STM32"/>
        <s v="STM Visit"/>
        <s v="Product Lifecycle &amp; Market Trends"/>
        <s v="System Thinking &amp; System Design (Part 1)"/>
        <s v="Systems Thinking &amp; System Design, (Part2)"/>
        <s v="Assignment and Code Optimisation"/>
        <s v="Analog Filters Revision/Doubts"/>
        <s v="Self Doubts"/>
        <s v="AWS IoT Setup and MQTT Connection"/>
        <s v="Usability and Accessibility (Part-1)"/>
        <s v="Sensor Integration"/>
        <s v="Bidirectional MQTT"/>
        <s v="Leading Self to Excellence-06 &amp; 07"/>
        <s v="Power Supply Design and Electronic Demonstration"/>
        <s v="Setup Filter Mobile App"/>
        <s v="Free RTOS with STM32"/>
        <s v="Emulation of Micro-controllers on Laptop"/>
      </sharedItems>
    </cacheField>
    <cacheField name="Domain" numFmtId="0">
      <sharedItems>
        <s v="Design &amp; UI"/>
        <s v="Business &amp; Entrepreneurship"/>
        <s v="Capstone"/>
        <s v="Embedded Systems &amp; IOT"/>
        <s v="Personal Leadership"/>
        <s v=""/>
        <s v="Product Development"/>
        <s v="Electronics &amp; Basics"/>
        <s v="Software &amp; App Development"/>
      </sharedItems>
    </cacheField>
    <cacheField name="Duration">
      <sharedItems containsBlank="1" containsMixedTypes="1" containsNumber="1" containsInteger="1">
        <n v="90.0"/>
        <n v="120.0"/>
        <n v="60.0"/>
        <s v="NA"/>
        <m/>
      </sharedItems>
    </cacheField>
    <cacheField name="Avg. Student Rating" numFmtId="0">
      <sharedItems containsString="0" containsBlank="1">
        <m/>
      </sharedItems>
    </cacheField>
    <cacheField name="Type" numFmtId="0">
      <sharedItems>
        <s v="Lecture"/>
        <s v="Workshop"/>
        <s v="Self Work"/>
        <s v="Capstone"/>
        <s v="Holiday"/>
        <s v="Tool Training"/>
        <s v="Industry Visit"/>
        <s v="Lab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p Level Pivot Table" cacheId="0" dataCaption="" compact="0" compactData="0">
  <location ref="A1:B9" firstHeaderRow="0" firstDataRow="1" firstDataCol="0"/>
  <pivotFields>
    <pivotField name="Wee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Da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Slot" compact="0" outline="0" multipleItemSelectionAllowed="1" showAll="0">
      <items>
        <item x="0"/>
        <item x="1"/>
        <item x="2"/>
        <item x="3"/>
        <item t="default"/>
      </items>
    </pivotField>
    <pivotField name="Instruc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Instructor Experience" axis="axisRow" compact="0" outline="0" multipleItemSelectionAllowed="1" showAll="0" sortType="ascending">
      <items>
        <item x="4"/>
        <item x="2"/>
        <item x="3"/>
        <item x="0"/>
        <item x="6"/>
        <item x="5"/>
        <item x="1"/>
        <item t="default"/>
      </items>
    </pivotField>
    <pivotField name="Instructor Review" compact="0" outline="0" multipleItemSelectionAllowed="1" showAll="0">
      <items>
        <item x="0"/>
        <item x="1"/>
        <item t="default"/>
      </items>
    </pivotField>
    <pivotField name="Class Attendance" compact="0" outline="0" multipleItemSelectionAllowed="1" showAll="0">
      <items>
        <item x="0"/>
        <item x="1"/>
        <item t="default"/>
      </items>
    </pivotField>
    <pivotField name="Topic / Modu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Doma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Duration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vg. Student Rating" compact="0" outline="0" multipleItemSelectionAllowed="1" showAll="0">
      <items>
        <item x="0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5"/>
  </rowFields>
  <dataFields>
    <dataField name="SUM of Duration" fld="1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38"/>
    <col customWidth="1" min="2" max="2" width="10.5"/>
    <col customWidth="1" min="3" max="3" width="18.5"/>
    <col customWidth="1" min="4" max="4" width="5.25"/>
    <col customWidth="1" min="5" max="5" width="27.0"/>
    <col customWidth="1" min="6" max="6" width="15.0"/>
    <col customWidth="1" min="7" max="7" width="19.88"/>
    <col customWidth="1" min="8" max="8" width="15.0"/>
    <col customWidth="1" min="9" max="9" width="31.38"/>
    <col customWidth="1" min="10" max="10" width="31.25"/>
    <col customWidth="1" min="11" max="11" width="15.0"/>
    <col customWidth="1" min="12" max="12" width="16.88"/>
    <col customWidth="1" min="13" max="13" width="15.38"/>
    <col customWidth="1" min="14" max="17" width="18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2">
        <v>1.0</v>
      </c>
      <c r="B2" s="3">
        <v>46027.0</v>
      </c>
      <c r="C2" s="2" t="s">
        <v>17</v>
      </c>
      <c r="D2" s="2" t="s">
        <v>18</v>
      </c>
      <c r="E2" s="2" t="s">
        <v>19</v>
      </c>
      <c r="F2" s="4" t="str">
        <f>VLOOKUP($E2,Instructors!$A$2:$C693,3,FALSE)</f>
        <v>&gt;20</v>
      </c>
      <c r="G2" s="4" t="str">
        <f t="shared" ref="G2:G23" si="2">if(E2="Holiday","NA",if(E2="Capstone","NA",""))</f>
        <v/>
      </c>
      <c r="H2" s="4" t="str">
        <f t="shared" ref="H2:H693" si="3">if($E2="Holiday","NA","")</f>
        <v/>
      </c>
      <c r="I2" s="2" t="s">
        <v>20</v>
      </c>
      <c r="J2" s="2" t="s">
        <v>21</v>
      </c>
      <c r="K2" s="5">
        <v>90.0</v>
      </c>
      <c r="M2" s="2" t="s">
        <v>22</v>
      </c>
      <c r="N2" s="2" t="s">
        <v>23</v>
      </c>
      <c r="O2" s="4"/>
      <c r="P2" s="4"/>
      <c r="Q2" s="4"/>
    </row>
    <row r="3">
      <c r="A3" s="4">
        <f t="shared" ref="A3:B3" si="1">A2</f>
        <v>1</v>
      </c>
      <c r="B3" s="3">
        <f t="shared" si="1"/>
        <v>46027</v>
      </c>
      <c r="C3" s="2" t="s">
        <v>17</v>
      </c>
      <c r="D3" s="2" t="s">
        <v>24</v>
      </c>
      <c r="E3" s="2" t="s">
        <v>25</v>
      </c>
      <c r="F3" s="4" t="str">
        <f>VLOOKUP($E3,Instructors!$A$2:$C693,3,FALSE)</f>
        <v>Self</v>
      </c>
      <c r="G3" s="4" t="str">
        <f t="shared" si="2"/>
        <v>NA</v>
      </c>
      <c r="H3" s="4" t="str">
        <f t="shared" si="3"/>
        <v/>
      </c>
      <c r="I3" s="2" t="s">
        <v>26</v>
      </c>
      <c r="J3" s="2" t="s">
        <v>21</v>
      </c>
      <c r="K3" s="5">
        <v>120.0</v>
      </c>
      <c r="M3" s="2" t="s">
        <v>27</v>
      </c>
      <c r="N3" s="2" t="s">
        <v>28</v>
      </c>
      <c r="O3" s="4"/>
      <c r="P3" s="4"/>
      <c r="Q3" s="4"/>
    </row>
    <row r="4">
      <c r="A4" s="4">
        <f t="shared" ref="A4:A29" si="4">A3</f>
        <v>1</v>
      </c>
      <c r="B4" s="3">
        <f>B2</f>
        <v>46027</v>
      </c>
      <c r="C4" s="2" t="s">
        <v>17</v>
      </c>
      <c r="D4" s="2" t="s">
        <v>29</v>
      </c>
      <c r="E4" s="2" t="s">
        <v>19</v>
      </c>
      <c r="F4" s="4" t="str">
        <f>VLOOKUP($E4,Instructors!$A$2:$C693,3,FALSE)</f>
        <v>&gt;20</v>
      </c>
      <c r="G4" s="4" t="str">
        <f t="shared" si="2"/>
        <v/>
      </c>
      <c r="H4" s="4" t="str">
        <f t="shared" si="3"/>
        <v/>
      </c>
      <c r="J4" s="2" t="s">
        <v>30</v>
      </c>
      <c r="K4" s="5">
        <v>90.0</v>
      </c>
      <c r="M4" s="2" t="s">
        <v>22</v>
      </c>
      <c r="N4" s="2" t="s">
        <v>23</v>
      </c>
      <c r="O4" s="4"/>
      <c r="P4" s="4"/>
      <c r="Q4" s="4"/>
    </row>
    <row r="5">
      <c r="A5" s="4">
        <f t="shared" si="4"/>
        <v>1</v>
      </c>
      <c r="B5" s="3">
        <f>B2</f>
        <v>46027</v>
      </c>
      <c r="C5" s="2" t="s">
        <v>17</v>
      </c>
      <c r="D5" s="2" t="s">
        <v>31</v>
      </c>
      <c r="E5" s="2" t="s">
        <v>25</v>
      </c>
      <c r="F5" s="4" t="str">
        <f>VLOOKUP($E5,Instructors!$A$2:$C693,3,FALSE)</f>
        <v>Self</v>
      </c>
      <c r="G5" s="4" t="str">
        <f t="shared" si="2"/>
        <v>NA</v>
      </c>
      <c r="H5" s="4" t="str">
        <f t="shared" si="3"/>
        <v/>
      </c>
      <c r="J5" s="4" t="str">
        <f>if($E5="Capstone","Capstone",if($E5="Holiday",""))</f>
        <v>Capstone</v>
      </c>
      <c r="K5" s="5">
        <v>90.0</v>
      </c>
      <c r="M5" s="2" t="s">
        <v>32</v>
      </c>
      <c r="N5" s="4"/>
      <c r="O5" s="4"/>
      <c r="P5" s="4"/>
      <c r="Q5" s="4"/>
    </row>
    <row r="6">
      <c r="A6" s="4">
        <f t="shared" si="4"/>
        <v>1</v>
      </c>
      <c r="B6" s="3">
        <f t="shared" ref="B6:B9" si="5">B2+1</f>
        <v>46028</v>
      </c>
      <c r="C6" s="2" t="s">
        <v>33</v>
      </c>
      <c r="D6" s="2" t="s">
        <v>18</v>
      </c>
      <c r="E6" s="2" t="s">
        <v>34</v>
      </c>
      <c r="F6" s="4" t="str">
        <f>VLOOKUP($E6,Instructors!$A$2:$C693,3,FALSE)</f>
        <v>&lt;5</v>
      </c>
      <c r="G6" s="4" t="str">
        <f t="shared" si="2"/>
        <v/>
      </c>
      <c r="H6" s="4" t="str">
        <f t="shared" si="3"/>
        <v/>
      </c>
      <c r="I6" s="2" t="s">
        <v>35</v>
      </c>
      <c r="J6" s="2" t="s">
        <v>36</v>
      </c>
      <c r="K6" s="5">
        <v>90.0</v>
      </c>
      <c r="M6" s="2" t="s">
        <v>27</v>
      </c>
      <c r="N6" s="2" t="s">
        <v>37</v>
      </c>
      <c r="O6" s="2" t="s">
        <v>38</v>
      </c>
      <c r="P6" s="2" t="s">
        <v>39</v>
      </c>
      <c r="Q6" s="4"/>
    </row>
    <row r="7">
      <c r="A7" s="4">
        <f t="shared" si="4"/>
        <v>1</v>
      </c>
      <c r="B7" s="3">
        <f t="shared" si="5"/>
        <v>46028</v>
      </c>
      <c r="C7" s="2" t="s">
        <v>33</v>
      </c>
      <c r="D7" s="2" t="s">
        <v>24</v>
      </c>
      <c r="E7" s="2" t="s">
        <v>34</v>
      </c>
      <c r="F7" s="4" t="str">
        <f>VLOOKUP($E7,Instructors!$A$2:$C693,3,FALSE)</f>
        <v>&lt;5</v>
      </c>
      <c r="G7" s="4" t="str">
        <f t="shared" si="2"/>
        <v/>
      </c>
      <c r="H7" s="4" t="str">
        <f t="shared" si="3"/>
        <v/>
      </c>
      <c r="I7" s="2" t="s">
        <v>40</v>
      </c>
      <c r="J7" s="2" t="s">
        <v>36</v>
      </c>
      <c r="K7" s="5">
        <v>90.0</v>
      </c>
      <c r="M7" s="2" t="s">
        <v>27</v>
      </c>
      <c r="N7" s="2" t="s">
        <v>41</v>
      </c>
      <c r="O7" s="2" t="s">
        <v>42</v>
      </c>
      <c r="P7" s="4"/>
      <c r="Q7" s="4"/>
    </row>
    <row r="8">
      <c r="A8" s="4">
        <f t="shared" si="4"/>
        <v>1</v>
      </c>
      <c r="B8" s="3">
        <f t="shared" si="5"/>
        <v>46028</v>
      </c>
      <c r="C8" s="2" t="s">
        <v>33</v>
      </c>
      <c r="D8" s="2" t="s">
        <v>29</v>
      </c>
      <c r="E8" s="2" t="s">
        <v>25</v>
      </c>
      <c r="F8" s="4" t="str">
        <f>VLOOKUP($E8,Instructors!$A$2:$C693,3,FALSE)</f>
        <v>Self</v>
      </c>
      <c r="G8" s="4" t="str">
        <f t="shared" si="2"/>
        <v>NA</v>
      </c>
      <c r="H8" s="4" t="str">
        <f t="shared" si="3"/>
        <v/>
      </c>
      <c r="J8" s="4" t="str">
        <f>if($E8="Capstone","Capstone",if($E8="Holiday",""))</f>
        <v>Capstone</v>
      </c>
      <c r="K8" s="5">
        <v>90.0</v>
      </c>
      <c r="M8" s="2" t="s">
        <v>32</v>
      </c>
      <c r="N8" s="4"/>
      <c r="O8" s="4"/>
      <c r="P8" s="4"/>
      <c r="Q8" s="4"/>
    </row>
    <row r="9">
      <c r="A9" s="4">
        <f t="shared" si="4"/>
        <v>1</v>
      </c>
      <c r="B9" s="3">
        <f t="shared" si="5"/>
        <v>46028</v>
      </c>
      <c r="C9" s="2" t="s">
        <v>33</v>
      </c>
      <c r="D9" s="2" t="s">
        <v>31</v>
      </c>
      <c r="E9" s="2" t="s">
        <v>34</v>
      </c>
      <c r="F9" s="4" t="str">
        <f>VLOOKUP($E9,Instructors!$A$2:$C693,3,FALSE)</f>
        <v>&lt;5</v>
      </c>
      <c r="G9" s="4" t="str">
        <f t="shared" si="2"/>
        <v/>
      </c>
      <c r="H9" s="4" t="str">
        <f t="shared" si="3"/>
        <v/>
      </c>
      <c r="I9" s="2" t="s">
        <v>43</v>
      </c>
      <c r="J9" s="2" t="s">
        <v>36</v>
      </c>
      <c r="K9" s="5">
        <v>90.0</v>
      </c>
      <c r="M9" s="2" t="s">
        <v>32</v>
      </c>
      <c r="N9" s="2" t="s">
        <v>38</v>
      </c>
      <c r="O9" s="2" t="s">
        <v>44</v>
      </c>
      <c r="P9" s="4"/>
      <c r="Q9" s="4"/>
    </row>
    <row r="10">
      <c r="A10" s="4">
        <f t="shared" si="4"/>
        <v>1</v>
      </c>
      <c r="B10" s="3">
        <f t="shared" ref="B10:B13" si="6">B2+2</f>
        <v>46029</v>
      </c>
      <c r="C10" s="2" t="s">
        <v>45</v>
      </c>
      <c r="D10" s="2" t="s">
        <v>18</v>
      </c>
      <c r="E10" s="2" t="s">
        <v>46</v>
      </c>
      <c r="F10" s="4" t="str">
        <f>VLOOKUP($E10,Instructors!$A$2:$C693,3,FALSE)</f>
        <v>&gt;10</v>
      </c>
      <c r="G10" s="4" t="str">
        <f t="shared" si="2"/>
        <v/>
      </c>
      <c r="H10" s="4" t="str">
        <f t="shared" si="3"/>
        <v/>
      </c>
      <c r="I10" s="2" t="s">
        <v>47</v>
      </c>
      <c r="J10" s="2" t="s">
        <v>21</v>
      </c>
      <c r="K10" s="5">
        <v>90.0</v>
      </c>
      <c r="M10" s="2" t="s">
        <v>22</v>
      </c>
      <c r="N10" s="2" t="s">
        <v>48</v>
      </c>
      <c r="O10" s="2" t="s">
        <v>49</v>
      </c>
      <c r="P10" s="4"/>
      <c r="Q10" s="4"/>
    </row>
    <row r="11">
      <c r="A11" s="4">
        <f t="shared" si="4"/>
        <v>1</v>
      </c>
      <c r="B11" s="3">
        <f t="shared" si="6"/>
        <v>46029</v>
      </c>
      <c r="C11" s="2" t="s">
        <v>45</v>
      </c>
      <c r="D11" s="2" t="s">
        <v>24</v>
      </c>
      <c r="E11" s="2" t="s">
        <v>34</v>
      </c>
      <c r="F11" s="4" t="str">
        <f>VLOOKUP($E11,Instructors!$A$2:$C693,3,FALSE)</f>
        <v>&lt;5</v>
      </c>
      <c r="G11" s="4" t="str">
        <f t="shared" si="2"/>
        <v/>
      </c>
      <c r="H11" s="4" t="str">
        <f t="shared" si="3"/>
        <v/>
      </c>
      <c r="I11" s="2" t="s">
        <v>50</v>
      </c>
      <c r="J11" s="2" t="s">
        <v>36</v>
      </c>
      <c r="K11" s="5">
        <v>90.0</v>
      </c>
      <c r="M11" s="2" t="s">
        <v>27</v>
      </c>
      <c r="N11" s="2" t="s">
        <v>51</v>
      </c>
      <c r="O11" s="2" t="s">
        <v>52</v>
      </c>
      <c r="P11" s="2" t="s">
        <v>53</v>
      </c>
      <c r="Q11" s="4"/>
    </row>
    <row r="12">
      <c r="A12" s="4">
        <f t="shared" si="4"/>
        <v>1</v>
      </c>
      <c r="B12" s="3">
        <f t="shared" si="6"/>
        <v>46029</v>
      </c>
      <c r="C12" s="2" t="s">
        <v>45</v>
      </c>
      <c r="D12" s="2" t="s">
        <v>29</v>
      </c>
      <c r="E12" s="2" t="s">
        <v>34</v>
      </c>
      <c r="F12" s="4" t="str">
        <f>VLOOKUP($E12,Instructors!$A$2:$C693,3,FALSE)</f>
        <v>&lt;5</v>
      </c>
      <c r="G12" s="4" t="str">
        <f t="shared" si="2"/>
        <v/>
      </c>
      <c r="H12" s="4" t="str">
        <f t="shared" si="3"/>
        <v/>
      </c>
      <c r="I12" s="6" t="s">
        <v>54</v>
      </c>
      <c r="J12" s="2" t="s">
        <v>36</v>
      </c>
      <c r="K12" s="5">
        <v>90.0</v>
      </c>
      <c r="M12" s="2" t="s">
        <v>27</v>
      </c>
      <c r="N12" s="2" t="s">
        <v>55</v>
      </c>
      <c r="O12" s="2" t="s">
        <v>56</v>
      </c>
      <c r="P12" s="4"/>
      <c r="Q12" s="4"/>
    </row>
    <row r="13">
      <c r="A13" s="4">
        <f t="shared" si="4"/>
        <v>1</v>
      </c>
      <c r="B13" s="3">
        <f t="shared" si="6"/>
        <v>46029</v>
      </c>
      <c r="C13" s="2" t="s">
        <v>45</v>
      </c>
      <c r="D13" s="2" t="s">
        <v>31</v>
      </c>
      <c r="E13" s="2" t="s">
        <v>25</v>
      </c>
      <c r="F13" s="4" t="str">
        <f>VLOOKUP($E13,Instructors!$A$2:$C693,3,FALSE)</f>
        <v>Self</v>
      </c>
      <c r="G13" s="4" t="str">
        <f t="shared" si="2"/>
        <v>NA</v>
      </c>
      <c r="H13" s="4" t="str">
        <f t="shared" si="3"/>
        <v/>
      </c>
      <c r="J13" s="4" t="str">
        <f>if($E13="Capstone","Capstone",if($E13="Holiday",""))</f>
        <v>Capstone</v>
      </c>
      <c r="K13" s="2">
        <v>90.0</v>
      </c>
      <c r="M13" s="2" t="s">
        <v>25</v>
      </c>
      <c r="N13" s="4"/>
      <c r="O13" s="4"/>
      <c r="P13" s="4"/>
      <c r="Q13" s="4"/>
    </row>
    <row r="14">
      <c r="A14" s="4">
        <f t="shared" si="4"/>
        <v>1</v>
      </c>
      <c r="B14" s="3">
        <f t="shared" ref="B14:B17" si="7">B10+1</f>
        <v>46030</v>
      </c>
      <c r="C14" s="2" t="s">
        <v>57</v>
      </c>
      <c r="D14" s="2" t="s">
        <v>18</v>
      </c>
      <c r="E14" s="2" t="s">
        <v>34</v>
      </c>
      <c r="F14" s="4" t="str">
        <f>VLOOKUP($E14,Instructors!$A$2:$C693,3,FALSE)</f>
        <v>&lt;5</v>
      </c>
      <c r="G14" s="4" t="str">
        <f t="shared" si="2"/>
        <v/>
      </c>
      <c r="H14" s="4" t="str">
        <f t="shared" si="3"/>
        <v/>
      </c>
      <c r="I14" s="2" t="s">
        <v>58</v>
      </c>
      <c r="J14" s="2" t="s">
        <v>36</v>
      </c>
      <c r="K14" s="2">
        <v>90.0</v>
      </c>
      <c r="M14" s="2" t="s">
        <v>27</v>
      </c>
      <c r="N14" s="2" t="s">
        <v>37</v>
      </c>
      <c r="O14" s="2" t="s">
        <v>59</v>
      </c>
      <c r="P14" s="2" t="s">
        <v>60</v>
      </c>
      <c r="Q14" s="2" t="s">
        <v>61</v>
      </c>
    </row>
    <row r="15">
      <c r="A15" s="4">
        <f t="shared" si="4"/>
        <v>1</v>
      </c>
      <c r="B15" s="3">
        <f t="shared" si="7"/>
        <v>46030</v>
      </c>
      <c r="C15" s="2" t="s">
        <v>57</v>
      </c>
      <c r="D15" s="2" t="s">
        <v>24</v>
      </c>
      <c r="E15" s="2" t="s">
        <v>34</v>
      </c>
      <c r="F15" s="4" t="str">
        <f>VLOOKUP($E15,Instructors!$A$2:$C693,3,FALSE)</f>
        <v>&lt;5</v>
      </c>
      <c r="G15" s="4" t="str">
        <f t="shared" si="2"/>
        <v/>
      </c>
      <c r="H15" s="4" t="str">
        <f t="shared" si="3"/>
        <v/>
      </c>
      <c r="I15" s="7" t="s">
        <v>62</v>
      </c>
      <c r="J15" s="2" t="s">
        <v>36</v>
      </c>
      <c r="K15" s="2">
        <v>90.0</v>
      </c>
      <c r="M15" s="2" t="s">
        <v>27</v>
      </c>
      <c r="N15" s="2" t="s">
        <v>51</v>
      </c>
      <c r="O15" s="2" t="s">
        <v>63</v>
      </c>
      <c r="P15" s="2" t="s">
        <v>64</v>
      </c>
      <c r="Q15" s="2" t="s">
        <v>65</v>
      </c>
    </row>
    <row r="16">
      <c r="A16" s="4">
        <f t="shared" si="4"/>
        <v>1</v>
      </c>
      <c r="B16" s="3">
        <f t="shared" si="7"/>
        <v>46030</v>
      </c>
      <c r="C16" s="2" t="s">
        <v>57</v>
      </c>
      <c r="D16" s="2" t="s">
        <v>29</v>
      </c>
      <c r="E16" s="2" t="s">
        <v>34</v>
      </c>
      <c r="F16" s="4" t="str">
        <f>VLOOKUP($E16,Instructors!$A$2:$C693,3,FALSE)</f>
        <v>&lt;5</v>
      </c>
      <c r="G16" s="4" t="str">
        <f t="shared" si="2"/>
        <v/>
      </c>
      <c r="H16" s="4" t="str">
        <f t="shared" si="3"/>
        <v/>
      </c>
      <c r="I16" s="7" t="s">
        <v>66</v>
      </c>
      <c r="J16" s="2" t="s">
        <v>36</v>
      </c>
      <c r="K16" s="2">
        <v>60.0</v>
      </c>
      <c r="M16" s="2" t="s">
        <v>27</v>
      </c>
      <c r="N16" s="2" t="s">
        <v>67</v>
      </c>
      <c r="O16" s="2" t="s">
        <v>68</v>
      </c>
      <c r="P16" s="2" t="s">
        <v>69</v>
      </c>
      <c r="Q16" s="2" t="s">
        <v>70</v>
      </c>
    </row>
    <row r="17">
      <c r="A17" s="4">
        <f t="shared" si="4"/>
        <v>1</v>
      </c>
      <c r="B17" s="3">
        <f t="shared" si="7"/>
        <v>46030</v>
      </c>
      <c r="C17" s="2" t="s">
        <v>57</v>
      </c>
      <c r="D17" s="2" t="s">
        <v>31</v>
      </c>
      <c r="E17" s="2" t="s">
        <v>19</v>
      </c>
      <c r="F17" s="4" t="str">
        <f>VLOOKUP($E17,Instructors!$A$2:$C693,3,FALSE)</f>
        <v>&gt;20</v>
      </c>
      <c r="G17" s="4" t="str">
        <f t="shared" si="2"/>
        <v/>
      </c>
      <c r="H17" s="4" t="str">
        <f t="shared" si="3"/>
        <v/>
      </c>
      <c r="I17" s="2" t="s">
        <v>71</v>
      </c>
      <c r="J17" s="2" t="s">
        <v>30</v>
      </c>
      <c r="K17" s="2">
        <v>90.0</v>
      </c>
      <c r="M17" s="2" t="s">
        <v>22</v>
      </c>
      <c r="N17" s="2" t="s">
        <v>72</v>
      </c>
      <c r="O17" s="4"/>
      <c r="P17" s="4"/>
      <c r="Q17" s="4"/>
    </row>
    <row r="18">
      <c r="A18" s="4">
        <f t="shared" si="4"/>
        <v>1</v>
      </c>
      <c r="B18" s="3">
        <f t="shared" ref="B18:B21" si="8">B10+2</f>
        <v>46031</v>
      </c>
      <c r="C18" s="2" t="s">
        <v>73</v>
      </c>
      <c r="D18" s="2" t="s">
        <v>18</v>
      </c>
      <c r="E18" s="2" t="s">
        <v>25</v>
      </c>
      <c r="F18" s="4" t="str">
        <f>VLOOKUP($E18,Instructors!$A$2:$C693,3,FALSE)</f>
        <v>Self</v>
      </c>
      <c r="G18" s="4" t="str">
        <f t="shared" si="2"/>
        <v>NA</v>
      </c>
      <c r="H18" s="4" t="str">
        <f t="shared" si="3"/>
        <v/>
      </c>
      <c r="J18" s="4" t="str">
        <f>if($E18="Capstone","Capstone",if($E18="Holiday",""))</f>
        <v>Capstone</v>
      </c>
      <c r="K18" s="2">
        <v>90.0</v>
      </c>
      <c r="M18" s="2" t="s">
        <v>32</v>
      </c>
      <c r="N18" s="4"/>
      <c r="O18" s="4"/>
      <c r="P18" s="4"/>
      <c r="Q18" s="4"/>
    </row>
    <row r="19">
      <c r="A19" s="4">
        <f t="shared" si="4"/>
        <v>1</v>
      </c>
      <c r="B19" s="3">
        <f t="shared" si="8"/>
        <v>46031</v>
      </c>
      <c r="C19" s="2" t="s">
        <v>73</v>
      </c>
      <c r="D19" s="2" t="s">
        <v>24</v>
      </c>
      <c r="E19" s="2" t="s">
        <v>34</v>
      </c>
      <c r="F19" s="4" t="str">
        <f>VLOOKUP($E19,Instructors!$A$2:$C693,3,FALSE)</f>
        <v>&lt;5</v>
      </c>
      <c r="G19" s="4" t="str">
        <f t="shared" si="2"/>
        <v/>
      </c>
      <c r="H19" s="4" t="str">
        <f t="shared" si="3"/>
        <v/>
      </c>
      <c r="I19" s="2" t="s">
        <v>74</v>
      </c>
      <c r="J19" s="2" t="s">
        <v>36</v>
      </c>
      <c r="K19" s="2">
        <v>90.0</v>
      </c>
      <c r="M19" s="2" t="s">
        <v>27</v>
      </c>
      <c r="N19" s="2" t="s">
        <v>75</v>
      </c>
      <c r="O19" s="2" t="s">
        <v>76</v>
      </c>
      <c r="P19" s="2" t="s">
        <v>77</v>
      </c>
      <c r="Q19" s="2" t="s">
        <v>78</v>
      </c>
    </row>
    <row r="20">
      <c r="A20" s="4">
        <f t="shared" si="4"/>
        <v>1</v>
      </c>
      <c r="B20" s="3">
        <f t="shared" si="8"/>
        <v>46031</v>
      </c>
      <c r="C20" s="2" t="s">
        <v>73</v>
      </c>
      <c r="D20" s="2" t="s">
        <v>29</v>
      </c>
      <c r="E20" s="2" t="s">
        <v>34</v>
      </c>
      <c r="F20" s="4" t="str">
        <f>VLOOKUP($E20,Instructors!$A$2:$C693,3,FALSE)</f>
        <v>&lt;5</v>
      </c>
      <c r="G20" s="4" t="str">
        <f t="shared" si="2"/>
        <v/>
      </c>
      <c r="H20" s="4" t="str">
        <f t="shared" si="3"/>
        <v/>
      </c>
      <c r="I20" s="2" t="s">
        <v>74</v>
      </c>
      <c r="J20" s="2" t="s">
        <v>36</v>
      </c>
      <c r="K20" s="2">
        <v>90.0</v>
      </c>
      <c r="M20" s="2" t="s">
        <v>27</v>
      </c>
      <c r="N20" s="2" t="s">
        <v>79</v>
      </c>
      <c r="O20" s="2" t="s">
        <v>80</v>
      </c>
      <c r="P20" s="2" t="s">
        <v>81</v>
      </c>
      <c r="Q20" s="2" t="s">
        <v>82</v>
      </c>
    </row>
    <row r="21">
      <c r="A21" s="4">
        <f t="shared" si="4"/>
        <v>1</v>
      </c>
      <c r="B21" s="3">
        <f t="shared" si="8"/>
        <v>46031</v>
      </c>
      <c r="C21" s="2" t="s">
        <v>73</v>
      </c>
      <c r="D21" s="2" t="s">
        <v>31</v>
      </c>
      <c r="E21" s="2" t="s">
        <v>34</v>
      </c>
      <c r="F21" s="4" t="str">
        <f>VLOOKUP($E21,Instructors!$A$2:$C693,3,FALSE)</f>
        <v>&lt;5</v>
      </c>
      <c r="G21" s="4" t="str">
        <f t="shared" si="2"/>
        <v/>
      </c>
      <c r="H21" s="4" t="str">
        <f t="shared" si="3"/>
        <v/>
      </c>
      <c r="I21" s="2" t="s">
        <v>74</v>
      </c>
      <c r="J21" s="2" t="s">
        <v>36</v>
      </c>
      <c r="K21" s="2">
        <v>90.0</v>
      </c>
      <c r="M21" s="2" t="s">
        <v>27</v>
      </c>
      <c r="N21" s="2" t="s">
        <v>83</v>
      </c>
      <c r="O21" s="2" t="s">
        <v>84</v>
      </c>
      <c r="P21" s="2" t="s">
        <v>85</v>
      </c>
      <c r="Q21" s="2" t="s">
        <v>68</v>
      </c>
    </row>
    <row r="22">
      <c r="A22" s="4">
        <f t="shared" si="4"/>
        <v>1</v>
      </c>
      <c r="B22" s="3">
        <f t="shared" ref="B22:B25" si="9">B18+1</f>
        <v>46032</v>
      </c>
      <c r="C22" s="2" t="s">
        <v>86</v>
      </c>
      <c r="D22" s="2" t="s">
        <v>18</v>
      </c>
      <c r="E22" s="2" t="s">
        <v>87</v>
      </c>
      <c r="F22" s="4" t="str">
        <f>VLOOKUP($E22,Instructors!$A$2:$C693,3,FALSE)</f>
        <v>&gt;20</v>
      </c>
      <c r="G22" s="4" t="str">
        <f t="shared" si="2"/>
        <v/>
      </c>
      <c r="H22" s="4" t="str">
        <f t="shared" si="3"/>
        <v/>
      </c>
      <c r="I22" s="2" t="s">
        <v>88</v>
      </c>
      <c r="J22" s="2" t="s">
        <v>89</v>
      </c>
      <c r="K22" s="2">
        <v>90.0</v>
      </c>
      <c r="M22" s="2" t="s">
        <v>27</v>
      </c>
      <c r="N22" s="2" t="s">
        <v>90</v>
      </c>
      <c r="O22" s="2" t="s">
        <v>91</v>
      </c>
      <c r="P22" s="4"/>
      <c r="Q22" s="4"/>
    </row>
    <row r="23">
      <c r="A23" s="4">
        <f t="shared" si="4"/>
        <v>1</v>
      </c>
      <c r="B23" s="3">
        <f t="shared" si="9"/>
        <v>46032</v>
      </c>
      <c r="C23" s="2" t="s">
        <v>86</v>
      </c>
      <c r="D23" s="2" t="s">
        <v>24</v>
      </c>
      <c r="E23" s="2" t="s">
        <v>87</v>
      </c>
      <c r="F23" s="4" t="str">
        <f>VLOOKUP($E23,Instructors!$A$2:$C693,3,FALSE)</f>
        <v>&gt;20</v>
      </c>
      <c r="G23" s="4" t="str">
        <f t="shared" si="2"/>
        <v/>
      </c>
      <c r="H23" s="4" t="str">
        <f t="shared" si="3"/>
        <v/>
      </c>
      <c r="I23" s="2" t="s">
        <v>88</v>
      </c>
      <c r="J23" s="2" t="s">
        <v>89</v>
      </c>
      <c r="K23" s="2">
        <v>90.0</v>
      </c>
      <c r="M23" s="2" t="s">
        <v>27</v>
      </c>
      <c r="N23" s="2" t="s">
        <v>90</v>
      </c>
      <c r="O23" s="2" t="s">
        <v>91</v>
      </c>
      <c r="P23" s="4"/>
      <c r="Q23" s="4"/>
    </row>
    <row r="24">
      <c r="A24" s="4">
        <f t="shared" si="4"/>
        <v>1</v>
      </c>
      <c r="B24" s="3">
        <f t="shared" si="9"/>
        <v>46032</v>
      </c>
      <c r="C24" s="2" t="s">
        <v>86</v>
      </c>
      <c r="D24" s="2" t="s">
        <v>29</v>
      </c>
      <c r="E24" s="2" t="s">
        <v>92</v>
      </c>
      <c r="F24" s="4" t="str">
        <f>VLOOKUP($E24,Instructors!$A$2:$C693,3,FALSE)</f>
        <v/>
      </c>
      <c r="G24" s="4" t="str">
        <f>if($E24="Holiday","NA",if($E24="Capstone","NA",""))</f>
        <v>NA</v>
      </c>
      <c r="H24" s="4" t="str">
        <f t="shared" si="3"/>
        <v>NA</v>
      </c>
      <c r="I24" s="4" t="str">
        <f t="shared" ref="I24:I29" si="10">if($E24="Holiday","NA","")</f>
        <v>NA</v>
      </c>
      <c r="J24" s="4" t="str">
        <f t="shared" ref="J24:J29" si="11">if($E24="Capstone","Capstone",if($E24="Holiday",""))</f>
        <v/>
      </c>
      <c r="K24" s="2" t="str">
        <f t="shared" ref="K24:K29" si="12">if($E24="Holiday","NA")</f>
        <v>NA</v>
      </c>
      <c r="M24" s="4" t="str">
        <f t="shared" ref="M24:M29" si="13">if($E24="Holiday","Holiday",if($E24="Capstone","Capstone"))</f>
        <v>Holiday</v>
      </c>
      <c r="N24" s="4"/>
      <c r="O24" s="4"/>
      <c r="P24" s="4"/>
      <c r="Q24" s="4"/>
    </row>
    <row r="25">
      <c r="A25" s="4">
        <f t="shared" si="4"/>
        <v>1</v>
      </c>
      <c r="B25" s="3">
        <f t="shared" si="9"/>
        <v>46032</v>
      </c>
      <c r="C25" s="2" t="s">
        <v>86</v>
      </c>
      <c r="D25" s="2" t="s">
        <v>31</v>
      </c>
      <c r="E25" s="2" t="s">
        <v>92</v>
      </c>
      <c r="F25" s="4" t="str">
        <f>VLOOKUP($E25,Instructors!$A$2:$C693,3,FALSE)</f>
        <v/>
      </c>
      <c r="G25" s="4" t="str">
        <f t="shared" ref="G25:G693" si="14">if(E25="Holiday","NA",if(E25="Capstone","NA",""))</f>
        <v>NA</v>
      </c>
      <c r="H25" s="4" t="str">
        <f t="shared" si="3"/>
        <v>NA</v>
      </c>
      <c r="I25" s="4" t="str">
        <f t="shared" si="10"/>
        <v>NA</v>
      </c>
      <c r="J25" s="4" t="str">
        <f t="shared" si="11"/>
        <v/>
      </c>
      <c r="K25" s="2" t="str">
        <f t="shared" si="12"/>
        <v>NA</v>
      </c>
      <c r="M25" s="4" t="str">
        <f t="shared" si="13"/>
        <v>Holiday</v>
      </c>
      <c r="N25" s="4"/>
      <c r="O25" s="4"/>
      <c r="P25" s="4"/>
      <c r="Q25" s="4"/>
    </row>
    <row r="26">
      <c r="A26" s="4">
        <f t="shared" si="4"/>
        <v>1</v>
      </c>
      <c r="B26" s="3">
        <f t="shared" ref="B26:B29" si="15">B18+2</f>
        <v>46033</v>
      </c>
      <c r="C26" s="2" t="s">
        <v>93</v>
      </c>
      <c r="D26" s="2" t="s">
        <v>18</v>
      </c>
      <c r="E26" s="2" t="s">
        <v>92</v>
      </c>
      <c r="F26" s="4" t="str">
        <f>VLOOKUP($E26,Instructors!$A$2:$C693,3,FALSE)</f>
        <v/>
      </c>
      <c r="G26" s="4" t="str">
        <f t="shared" si="14"/>
        <v>NA</v>
      </c>
      <c r="H26" s="4" t="str">
        <f t="shared" si="3"/>
        <v>NA</v>
      </c>
      <c r="I26" s="4" t="str">
        <f t="shared" si="10"/>
        <v>NA</v>
      </c>
      <c r="J26" s="4" t="str">
        <f t="shared" si="11"/>
        <v/>
      </c>
      <c r="K26" s="2" t="str">
        <f t="shared" si="12"/>
        <v>NA</v>
      </c>
      <c r="M26" s="4" t="str">
        <f t="shared" si="13"/>
        <v>Holiday</v>
      </c>
      <c r="N26" s="4"/>
      <c r="O26" s="4"/>
      <c r="P26" s="4"/>
      <c r="Q26" s="4"/>
    </row>
    <row r="27">
      <c r="A27" s="4">
        <f t="shared" si="4"/>
        <v>1</v>
      </c>
      <c r="B27" s="3">
        <f t="shared" si="15"/>
        <v>46033</v>
      </c>
      <c r="C27" s="2" t="s">
        <v>93</v>
      </c>
      <c r="D27" s="2" t="s">
        <v>24</v>
      </c>
      <c r="E27" s="2" t="s">
        <v>92</v>
      </c>
      <c r="F27" s="4" t="str">
        <f>VLOOKUP($E27,Instructors!$A$2:$C693,3,FALSE)</f>
        <v/>
      </c>
      <c r="G27" s="4" t="str">
        <f t="shared" si="14"/>
        <v>NA</v>
      </c>
      <c r="H27" s="4" t="str">
        <f t="shared" si="3"/>
        <v>NA</v>
      </c>
      <c r="I27" s="4" t="str">
        <f t="shared" si="10"/>
        <v>NA</v>
      </c>
      <c r="J27" s="4" t="str">
        <f t="shared" si="11"/>
        <v/>
      </c>
      <c r="K27" s="2" t="str">
        <f t="shared" si="12"/>
        <v>NA</v>
      </c>
      <c r="M27" s="4" t="str">
        <f t="shared" si="13"/>
        <v>Holiday</v>
      </c>
      <c r="N27" s="4"/>
      <c r="O27" s="4"/>
      <c r="P27" s="4"/>
      <c r="Q27" s="4"/>
    </row>
    <row r="28">
      <c r="A28" s="4">
        <f t="shared" si="4"/>
        <v>1</v>
      </c>
      <c r="B28" s="3">
        <f t="shared" si="15"/>
        <v>46033</v>
      </c>
      <c r="C28" s="2" t="s">
        <v>93</v>
      </c>
      <c r="D28" s="2" t="s">
        <v>29</v>
      </c>
      <c r="E28" s="2" t="s">
        <v>92</v>
      </c>
      <c r="F28" s="4" t="str">
        <f>VLOOKUP($E28,Instructors!$A$2:$C693,3,FALSE)</f>
        <v/>
      </c>
      <c r="G28" s="4" t="str">
        <f t="shared" si="14"/>
        <v>NA</v>
      </c>
      <c r="H28" s="4" t="str">
        <f t="shared" si="3"/>
        <v>NA</v>
      </c>
      <c r="I28" s="4" t="str">
        <f t="shared" si="10"/>
        <v>NA</v>
      </c>
      <c r="J28" s="4" t="str">
        <f t="shared" si="11"/>
        <v/>
      </c>
      <c r="K28" s="2" t="str">
        <f t="shared" si="12"/>
        <v>NA</v>
      </c>
      <c r="M28" s="4" t="str">
        <f t="shared" si="13"/>
        <v>Holiday</v>
      </c>
      <c r="N28" s="4"/>
      <c r="O28" s="4"/>
      <c r="P28" s="4"/>
      <c r="Q28" s="4"/>
    </row>
    <row r="29">
      <c r="A29" s="4">
        <f t="shared" si="4"/>
        <v>1</v>
      </c>
      <c r="B29" s="3">
        <f t="shared" si="15"/>
        <v>46033</v>
      </c>
      <c r="C29" s="2" t="s">
        <v>93</v>
      </c>
      <c r="D29" s="2" t="s">
        <v>31</v>
      </c>
      <c r="E29" s="2" t="s">
        <v>92</v>
      </c>
      <c r="F29" s="4" t="str">
        <f>VLOOKUP($E29,Instructors!$A$2:$C693,3,FALSE)</f>
        <v/>
      </c>
      <c r="G29" s="4" t="str">
        <f t="shared" si="14"/>
        <v>NA</v>
      </c>
      <c r="H29" s="4" t="str">
        <f t="shared" si="3"/>
        <v>NA</v>
      </c>
      <c r="I29" s="4" t="str">
        <f t="shared" si="10"/>
        <v>NA</v>
      </c>
      <c r="J29" s="4" t="str">
        <f t="shared" si="11"/>
        <v/>
      </c>
      <c r="K29" s="2" t="str">
        <f t="shared" si="12"/>
        <v>NA</v>
      </c>
      <c r="M29" s="4" t="str">
        <f t="shared" si="13"/>
        <v>Holiday</v>
      </c>
      <c r="N29" s="4"/>
      <c r="O29" s="4"/>
      <c r="P29" s="4"/>
      <c r="Q29" s="4"/>
    </row>
    <row r="30">
      <c r="A30" s="2">
        <v>2.0</v>
      </c>
      <c r="B30" s="3">
        <f t="shared" ref="B30:B33" si="16">B26+1</f>
        <v>46034</v>
      </c>
      <c r="C30" s="2" t="s">
        <v>17</v>
      </c>
      <c r="D30" s="2" t="s">
        <v>18</v>
      </c>
      <c r="E30" s="2" t="s">
        <v>19</v>
      </c>
      <c r="F30" s="4" t="str">
        <f>VLOOKUP($E30,Instructors!$A$2:$C693,3,FALSE)</f>
        <v>&gt;20</v>
      </c>
      <c r="G30" s="4" t="str">
        <f t="shared" si="14"/>
        <v/>
      </c>
      <c r="H30" s="4" t="str">
        <f t="shared" si="3"/>
        <v/>
      </c>
      <c r="I30" s="2" t="s">
        <v>94</v>
      </c>
      <c r="J30" s="2" t="s">
        <v>89</v>
      </c>
      <c r="K30" s="2">
        <v>90.0</v>
      </c>
      <c r="M30" s="2" t="s">
        <v>27</v>
      </c>
      <c r="N30" s="2" t="s">
        <v>90</v>
      </c>
      <c r="O30" s="2" t="s">
        <v>89</v>
      </c>
      <c r="P30" s="4"/>
      <c r="Q30" s="4"/>
    </row>
    <row r="31">
      <c r="A31" s="4">
        <f t="shared" ref="A31:A57" si="17">A30</f>
        <v>2</v>
      </c>
      <c r="B31" s="3">
        <f t="shared" si="16"/>
        <v>46034</v>
      </c>
      <c r="C31" s="2" t="s">
        <v>17</v>
      </c>
      <c r="D31" s="2" t="s">
        <v>24</v>
      </c>
      <c r="E31" s="2" t="s">
        <v>25</v>
      </c>
      <c r="F31" s="4" t="str">
        <f>VLOOKUP($E31,Instructors!$A$2:$C693,3,FALSE)</f>
        <v>Self</v>
      </c>
      <c r="G31" s="4" t="str">
        <f t="shared" si="14"/>
        <v>NA</v>
      </c>
      <c r="H31" s="4" t="str">
        <f t="shared" si="3"/>
        <v/>
      </c>
      <c r="J31" s="4" t="str">
        <f>if($E31="Capstone","Capstone",if($E31="Holiday",""))</f>
        <v>Capstone</v>
      </c>
      <c r="K31" s="2">
        <v>90.0</v>
      </c>
      <c r="M31" s="2" t="s">
        <v>32</v>
      </c>
      <c r="N31" s="4"/>
      <c r="O31" s="4"/>
      <c r="P31" s="4"/>
      <c r="Q31" s="4"/>
    </row>
    <row r="32">
      <c r="A32" s="4">
        <f t="shared" si="17"/>
        <v>2</v>
      </c>
      <c r="B32" s="3">
        <f t="shared" si="16"/>
        <v>46034</v>
      </c>
      <c r="C32" s="2" t="s">
        <v>17</v>
      </c>
      <c r="D32" s="2" t="s">
        <v>29</v>
      </c>
      <c r="E32" s="2" t="s">
        <v>34</v>
      </c>
      <c r="F32" s="4" t="str">
        <f>VLOOKUP($E32,Instructors!$A$2:$C693,3,FALSE)</f>
        <v>&lt;5</v>
      </c>
      <c r="G32" s="4" t="str">
        <f t="shared" si="14"/>
        <v/>
      </c>
      <c r="H32" s="4" t="str">
        <f t="shared" si="3"/>
        <v/>
      </c>
      <c r="I32" s="2" t="s">
        <v>95</v>
      </c>
      <c r="J32" s="2" t="s">
        <v>36</v>
      </c>
      <c r="K32" s="2">
        <v>90.0</v>
      </c>
      <c r="M32" s="2" t="s">
        <v>27</v>
      </c>
      <c r="N32" s="2" t="s">
        <v>96</v>
      </c>
      <c r="O32" s="2" t="s">
        <v>97</v>
      </c>
      <c r="P32" s="4"/>
      <c r="Q32" s="4"/>
    </row>
    <row r="33">
      <c r="A33" s="4">
        <f t="shared" si="17"/>
        <v>2</v>
      </c>
      <c r="B33" s="3">
        <f t="shared" si="16"/>
        <v>46034</v>
      </c>
      <c r="C33" s="2" t="s">
        <v>17</v>
      </c>
      <c r="D33" s="2" t="s">
        <v>31</v>
      </c>
      <c r="E33" s="2" t="s">
        <v>34</v>
      </c>
      <c r="F33" s="4" t="str">
        <f>VLOOKUP($E33,Instructors!$A$2:$C693,3,FALSE)</f>
        <v>&lt;5</v>
      </c>
      <c r="G33" s="4" t="str">
        <f t="shared" si="14"/>
        <v/>
      </c>
      <c r="H33" s="4" t="str">
        <f t="shared" si="3"/>
        <v/>
      </c>
      <c r="I33" s="2" t="s">
        <v>95</v>
      </c>
      <c r="J33" s="2" t="s">
        <v>36</v>
      </c>
      <c r="K33" s="2">
        <v>90.0</v>
      </c>
      <c r="M33" s="2" t="s">
        <v>27</v>
      </c>
      <c r="N33" s="2" t="s">
        <v>96</v>
      </c>
      <c r="O33" s="2" t="s">
        <v>70</v>
      </c>
      <c r="P33" s="4"/>
      <c r="Q33" s="4"/>
    </row>
    <row r="34">
      <c r="A34" s="4">
        <f t="shared" si="17"/>
        <v>2</v>
      </c>
      <c r="B34" s="3">
        <f t="shared" ref="B34:B37" si="18">B26+2</f>
        <v>46035</v>
      </c>
      <c r="C34" s="2" t="s">
        <v>33</v>
      </c>
      <c r="D34" s="2" t="s">
        <v>18</v>
      </c>
      <c r="E34" s="2" t="s">
        <v>34</v>
      </c>
      <c r="F34" s="4" t="str">
        <f>VLOOKUP($E34,Instructors!$A$2:$C693,3,FALSE)</f>
        <v>&lt;5</v>
      </c>
      <c r="G34" s="4" t="str">
        <f t="shared" si="14"/>
        <v/>
      </c>
      <c r="H34" s="4" t="str">
        <f t="shared" si="3"/>
        <v/>
      </c>
      <c r="I34" s="2" t="s">
        <v>98</v>
      </c>
      <c r="J34" s="2" t="s">
        <v>36</v>
      </c>
      <c r="K34" s="2">
        <v>90.0</v>
      </c>
      <c r="M34" s="2" t="s">
        <v>27</v>
      </c>
      <c r="N34" s="2" t="s">
        <v>99</v>
      </c>
      <c r="O34" s="4"/>
      <c r="P34" s="4"/>
      <c r="Q34" s="4"/>
    </row>
    <row r="35">
      <c r="A35" s="4">
        <f t="shared" si="17"/>
        <v>2</v>
      </c>
      <c r="B35" s="3">
        <f t="shared" si="18"/>
        <v>46035</v>
      </c>
      <c r="C35" s="2" t="s">
        <v>33</v>
      </c>
      <c r="D35" s="2" t="s">
        <v>24</v>
      </c>
      <c r="E35" s="2" t="s">
        <v>34</v>
      </c>
      <c r="F35" s="4" t="str">
        <f>VLOOKUP($E35,Instructors!$A$2:$C693,3,FALSE)</f>
        <v>&lt;5</v>
      </c>
      <c r="G35" s="4" t="str">
        <f t="shared" si="14"/>
        <v/>
      </c>
      <c r="H35" s="4" t="str">
        <f t="shared" si="3"/>
        <v/>
      </c>
      <c r="I35" s="2" t="s">
        <v>100</v>
      </c>
      <c r="J35" s="2" t="s">
        <v>36</v>
      </c>
      <c r="K35" s="2">
        <v>120.0</v>
      </c>
      <c r="M35" s="2" t="s">
        <v>27</v>
      </c>
      <c r="N35" s="2" t="s">
        <v>101</v>
      </c>
      <c r="O35" s="2" t="s">
        <v>96</v>
      </c>
      <c r="P35" s="2" t="s">
        <v>61</v>
      </c>
      <c r="Q35" s="2" t="s">
        <v>102</v>
      </c>
    </row>
    <row r="36">
      <c r="A36" s="4">
        <f t="shared" si="17"/>
        <v>2</v>
      </c>
      <c r="B36" s="3">
        <f t="shared" si="18"/>
        <v>46035</v>
      </c>
      <c r="C36" s="2" t="s">
        <v>33</v>
      </c>
      <c r="D36" s="2" t="s">
        <v>29</v>
      </c>
      <c r="E36" s="2" t="s">
        <v>25</v>
      </c>
      <c r="F36" s="4" t="str">
        <f>VLOOKUP($E36,Instructors!$A$2:$C693,3,FALSE)</f>
        <v>Self</v>
      </c>
      <c r="G36" s="4" t="str">
        <f t="shared" si="14"/>
        <v>NA</v>
      </c>
      <c r="H36" s="4" t="str">
        <f t="shared" si="3"/>
        <v/>
      </c>
      <c r="J36" s="4" t="str">
        <f>if($E36="Capstone","Capstone",if($E36="Holiday",""))</f>
        <v>Capstone</v>
      </c>
      <c r="K36" s="2">
        <v>90.0</v>
      </c>
      <c r="M36" s="2" t="s">
        <v>32</v>
      </c>
      <c r="N36" s="4"/>
      <c r="O36" s="4"/>
      <c r="P36" s="4"/>
      <c r="Q36" s="4"/>
    </row>
    <row r="37">
      <c r="A37" s="4">
        <f t="shared" si="17"/>
        <v>2</v>
      </c>
      <c r="B37" s="3">
        <f t="shared" si="18"/>
        <v>46035</v>
      </c>
      <c r="C37" s="2" t="s">
        <v>33</v>
      </c>
      <c r="D37" s="2" t="s">
        <v>31</v>
      </c>
      <c r="E37" s="2" t="s">
        <v>34</v>
      </c>
      <c r="F37" s="4" t="str">
        <f>VLOOKUP($E37,Instructors!$A$2:$C693,3,FALSE)</f>
        <v>&lt;5</v>
      </c>
      <c r="G37" s="4" t="str">
        <f t="shared" si="14"/>
        <v/>
      </c>
      <c r="H37" s="4" t="str">
        <f t="shared" si="3"/>
        <v/>
      </c>
      <c r="I37" s="2" t="s">
        <v>103</v>
      </c>
      <c r="J37" s="2" t="s">
        <v>36</v>
      </c>
      <c r="K37" s="2">
        <v>90.0</v>
      </c>
      <c r="M37" s="2" t="s">
        <v>27</v>
      </c>
      <c r="N37" s="2" t="s">
        <v>104</v>
      </c>
      <c r="O37" s="2" t="s">
        <v>52</v>
      </c>
      <c r="P37" s="2" t="s">
        <v>51</v>
      </c>
      <c r="Q37" s="2" t="s">
        <v>105</v>
      </c>
    </row>
    <row r="38">
      <c r="A38" s="4">
        <f t="shared" si="17"/>
        <v>2</v>
      </c>
      <c r="B38" s="3">
        <f t="shared" ref="B38:B41" si="19">B34+1</f>
        <v>46036</v>
      </c>
      <c r="C38" s="2" t="s">
        <v>45</v>
      </c>
      <c r="D38" s="2" t="s">
        <v>18</v>
      </c>
      <c r="E38" s="2" t="s">
        <v>34</v>
      </c>
      <c r="F38" s="4" t="str">
        <f>VLOOKUP($E38,Instructors!$A$2:$C693,3,FALSE)</f>
        <v>&lt;5</v>
      </c>
      <c r="G38" s="4" t="str">
        <f t="shared" si="14"/>
        <v/>
      </c>
      <c r="H38" s="4" t="str">
        <f t="shared" si="3"/>
        <v/>
      </c>
      <c r="I38" s="2" t="s">
        <v>106</v>
      </c>
      <c r="J38" s="2" t="s">
        <v>36</v>
      </c>
      <c r="K38" s="2">
        <v>90.0</v>
      </c>
      <c r="M38" s="2" t="s">
        <v>27</v>
      </c>
      <c r="N38" s="2" t="s">
        <v>107</v>
      </c>
      <c r="O38" s="2" t="s">
        <v>48</v>
      </c>
      <c r="P38" s="2" t="s">
        <v>101</v>
      </c>
      <c r="Q38" s="4"/>
    </row>
    <row r="39">
      <c r="A39" s="4">
        <f t="shared" si="17"/>
        <v>2</v>
      </c>
      <c r="B39" s="3">
        <f t="shared" si="19"/>
        <v>46036</v>
      </c>
      <c r="C39" s="2" t="s">
        <v>45</v>
      </c>
      <c r="D39" s="2" t="s">
        <v>24</v>
      </c>
      <c r="E39" s="2" t="s">
        <v>25</v>
      </c>
      <c r="F39" s="4" t="str">
        <f>VLOOKUP($E39,Instructors!$A$2:$C693,3,FALSE)</f>
        <v>Self</v>
      </c>
      <c r="G39" s="4" t="str">
        <f t="shared" si="14"/>
        <v>NA</v>
      </c>
      <c r="H39" s="4" t="str">
        <f t="shared" si="3"/>
        <v/>
      </c>
      <c r="J39" s="4" t="str">
        <f>if($E39="Capstone","Capstone",if($E39="Holiday",""))</f>
        <v>Capstone</v>
      </c>
      <c r="K39" s="2">
        <v>90.0</v>
      </c>
      <c r="M39" s="2" t="s">
        <v>32</v>
      </c>
      <c r="N39" s="4"/>
      <c r="O39" s="4"/>
      <c r="P39" s="4"/>
      <c r="Q39" s="4"/>
    </row>
    <row r="40">
      <c r="A40" s="4">
        <f t="shared" si="17"/>
        <v>2</v>
      </c>
      <c r="B40" s="3">
        <f t="shared" si="19"/>
        <v>46036</v>
      </c>
      <c r="C40" s="2" t="s">
        <v>45</v>
      </c>
      <c r="D40" s="2" t="s">
        <v>29</v>
      </c>
      <c r="E40" s="2" t="s">
        <v>34</v>
      </c>
      <c r="F40" s="4" t="str">
        <f>VLOOKUP($E40,Instructors!$A$2:$C693,3,FALSE)</f>
        <v>&lt;5</v>
      </c>
      <c r="G40" s="4" t="str">
        <f t="shared" si="14"/>
        <v/>
      </c>
      <c r="H40" s="4" t="str">
        <f t="shared" si="3"/>
        <v/>
      </c>
      <c r="I40" s="2" t="s">
        <v>108</v>
      </c>
      <c r="J40" s="2" t="s">
        <v>36</v>
      </c>
      <c r="K40" s="2">
        <v>90.0</v>
      </c>
      <c r="M40" s="2" t="s">
        <v>27</v>
      </c>
      <c r="N40" s="2" t="s">
        <v>99</v>
      </c>
      <c r="O40" s="2" t="s">
        <v>96</v>
      </c>
      <c r="P40" s="2" t="s">
        <v>70</v>
      </c>
      <c r="Q40" s="4"/>
    </row>
    <row r="41">
      <c r="A41" s="4">
        <f t="shared" si="17"/>
        <v>2</v>
      </c>
      <c r="B41" s="3">
        <f t="shared" si="19"/>
        <v>46036</v>
      </c>
      <c r="C41" s="2" t="s">
        <v>45</v>
      </c>
      <c r="D41" s="2" t="s">
        <v>31</v>
      </c>
      <c r="E41" s="2" t="s">
        <v>34</v>
      </c>
      <c r="F41" s="4" t="str">
        <f>VLOOKUP($E41,Instructors!$A$2:$C693,3,FALSE)</f>
        <v>&lt;5</v>
      </c>
      <c r="G41" s="4" t="str">
        <f t="shared" si="14"/>
        <v/>
      </c>
      <c r="H41" s="4" t="str">
        <f t="shared" si="3"/>
        <v/>
      </c>
      <c r="I41" s="2" t="s">
        <v>109</v>
      </c>
      <c r="J41" s="2" t="s">
        <v>36</v>
      </c>
      <c r="K41" s="2">
        <v>90.0</v>
      </c>
      <c r="M41" s="2" t="s">
        <v>27</v>
      </c>
      <c r="N41" s="2" t="s">
        <v>60</v>
      </c>
      <c r="O41" s="2" t="s">
        <v>52</v>
      </c>
      <c r="P41" s="2" t="s">
        <v>53</v>
      </c>
      <c r="Q41" s="4"/>
    </row>
    <row r="42">
      <c r="A42" s="4">
        <f t="shared" si="17"/>
        <v>2</v>
      </c>
      <c r="B42" s="3">
        <f t="shared" ref="B42:B45" si="20">B34+2</f>
        <v>46037</v>
      </c>
      <c r="C42" s="2" t="s">
        <v>57</v>
      </c>
      <c r="D42" s="2" t="s">
        <v>18</v>
      </c>
      <c r="E42" s="2" t="s">
        <v>34</v>
      </c>
      <c r="F42" s="4" t="str">
        <f>VLOOKUP($E42,Instructors!$A$2:$C693,3,FALSE)</f>
        <v>&lt;5</v>
      </c>
      <c r="G42" s="4" t="str">
        <f t="shared" si="14"/>
        <v/>
      </c>
      <c r="H42" s="4" t="str">
        <f t="shared" si="3"/>
        <v/>
      </c>
      <c r="I42" s="2" t="s">
        <v>110</v>
      </c>
      <c r="J42" s="2" t="s">
        <v>36</v>
      </c>
      <c r="K42" s="2">
        <v>90.0</v>
      </c>
      <c r="M42" s="2" t="s">
        <v>27</v>
      </c>
      <c r="N42" s="2" t="s">
        <v>111</v>
      </c>
      <c r="O42" s="2" t="s">
        <v>99</v>
      </c>
      <c r="P42" s="2" t="s">
        <v>97</v>
      </c>
      <c r="Q42" s="4"/>
    </row>
    <row r="43">
      <c r="A43" s="4">
        <f t="shared" si="17"/>
        <v>2</v>
      </c>
      <c r="B43" s="3">
        <f t="shared" si="20"/>
        <v>46037</v>
      </c>
      <c r="C43" s="2" t="s">
        <v>57</v>
      </c>
      <c r="D43" s="2" t="s">
        <v>24</v>
      </c>
      <c r="E43" s="2" t="s">
        <v>34</v>
      </c>
      <c r="F43" s="4" t="str">
        <f>VLOOKUP($E43,Instructors!$A$2:$C693,3,FALSE)</f>
        <v>&lt;5</v>
      </c>
      <c r="G43" s="4" t="str">
        <f t="shared" si="14"/>
        <v/>
      </c>
      <c r="H43" s="4" t="str">
        <f t="shared" si="3"/>
        <v/>
      </c>
      <c r="I43" s="2" t="s">
        <v>112</v>
      </c>
      <c r="J43" s="2" t="s">
        <v>36</v>
      </c>
      <c r="K43" s="2">
        <v>120.0</v>
      </c>
      <c r="M43" s="2" t="s">
        <v>27</v>
      </c>
      <c r="N43" s="2" t="s">
        <v>96</v>
      </c>
      <c r="O43" s="2" t="s">
        <v>69</v>
      </c>
      <c r="P43" s="4"/>
      <c r="Q43" s="4"/>
    </row>
    <row r="44">
      <c r="A44" s="4">
        <f t="shared" si="17"/>
        <v>2</v>
      </c>
      <c r="B44" s="3">
        <f t="shared" si="20"/>
        <v>46037</v>
      </c>
      <c r="C44" s="2" t="s">
        <v>57</v>
      </c>
      <c r="D44" s="2" t="s">
        <v>29</v>
      </c>
      <c r="E44" s="2" t="s">
        <v>25</v>
      </c>
      <c r="F44" s="4" t="str">
        <f>VLOOKUP($E44,Instructors!$A$2:$C693,3,FALSE)</f>
        <v>Self</v>
      </c>
      <c r="G44" s="4" t="str">
        <f t="shared" si="14"/>
        <v>NA</v>
      </c>
      <c r="H44" s="4" t="str">
        <f t="shared" si="3"/>
        <v/>
      </c>
      <c r="J44" s="4" t="str">
        <f>if($E44="Capstone","Capstone",if($E44="Holiday",""))</f>
        <v>Capstone</v>
      </c>
      <c r="K44" s="2">
        <v>90.0</v>
      </c>
      <c r="M44" s="2" t="s">
        <v>32</v>
      </c>
      <c r="N44" s="4"/>
      <c r="O44" s="4"/>
      <c r="P44" s="4"/>
      <c r="Q44" s="4"/>
    </row>
    <row r="45">
      <c r="A45" s="4">
        <f t="shared" si="17"/>
        <v>2</v>
      </c>
      <c r="B45" s="3">
        <f t="shared" si="20"/>
        <v>46037</v>
      </c>
      <c r="C45" s="2" t="s">
        <v>57</v>
      </c>
      <c r="D45" s="2" t="s">
        <v>31</v>
      </c>
      <c r="E45" s="2" t="s">
        <v>34</v>
      </c>
      <c r="F45" s="4" t="str">
        <f>VLOOKUP($E45,Instructors!$A$2:$C693,3,FALSE)</f>
        <v>&lt;5</v>
      </c>
      <c r="G45" s="4" t="str">
        <f t="shared" si="14"/>
        <v/>
      </c>
      <c r="H45" s="4" t="str">
        <f t="shared" si="3"/>
        <v/>
      </c>
      <c r="I45" s="2" t="s">
        <v>113</v>
      </c>
      <c r="J45" s="2" t="s">
        <v>36</v>
      </c>
      <c r="K45" s="2">
        <v>90.0</v>
      </c>
      <c r="M45" s="2" t="s">
        <v>27</v>
      </c>
      <c r="N45" s="2" t="s">
        <v>70</v>
      </c>
      <c r="O45" s="2" t="s">
        <v>67</v>
      </c>
      <c r="P45" s="2" t="s">
        <v>48</v>
      </c>
      <c r="Q45" s="2" t="s">
        <v>114</v>
      </c>
    </row>
    <row r="46">
      <c r="A46" s="4">
        <f t="shared" si="17"/>
        <v>2</v>
      </c>
      <c r="B46" s="3">
        <f t="shared" ref="B46:B49" si="21">B42+1</f>
        <v>46038</v>
      </c>
      <c r="C46" s="2" t="s">
        <v>73</v>
      </c>
      <c r="D46" s="2" t="s">
        <v>18</v>
      </c>
      <c r="E46" s="2" t="s">
        <v>115</v>
      </c>
      <c r="F46" s="4" t="str">
        <f>VLOOKUP($E46,Instructors!$A$2:$C693,3,FALSE)</f>
        <v>&gt;20</v>
      </c>
      <c r="G46" s="4" t="str">
        <f t="shared" si="14"/>
        <v/>
      </c>
      <c r="H46" s="4" t="str">
        <f t="shared" si="3"/>
        <v/>
      </c>
      <c r="I46" s="2" t="s">
        <v>116</v>
      </c>
      <c r="J46" s="2" t="s">
        <v>117</v>
      </c>
      <c r="K46" s="2">
        <v>90.0</v>
      </c>
      <c r="M46" s="2" t="s">
        <v>22</v>
      </c>
      <c r="N46" s="2" t="s">
        <v>49</v>
      </c>
      <c r="O46" s="2" t="s">
        <v>118</v>
      </c>
      <c r="P46" s="2" t="s">
        <v>119</v>
      </c>
      <c r="Q46" s="2" t="s">
        <v>120</v>
      </c>
    </row>
    <row r="47">
      <c r="A47" s="4">
        <f t="shared" si="17"/>
        <v>2</v>
      </c>
      <c r="B47" s="3">
        <f t="shared" si="21"/>
        <v>46038</v>
      </c>
      <c r="C47" s="2" t="s">
        <v>73</v>
      </c>
      <c r="D47" s="2" t="s">
        <v>24</v>
      </c>
      <c r="E47" s="2" t="s">
        <v>121</v>
      </c>
      <c r="F47" s="4" t="str">
        <f>VLOOKUP($E47,Instructors!$A$2:$C693,3,FALSE)</f>
        <v>&gt;40</v>
      </c>
      <c r="G47" s="4" t="str">
        <f t="shared" si="14"/>
        <v/>
      </c>
      <c r="H47" s="4" t="str">
        <f t="shared" si="3"/>
        <v/>
      </c>
      <c r="I47" s="2" t="s">
        <v>122</v>
      </c>
      <c r="J47" s="2" t="s">
        <v>117</v>
      </c>
      <c r="K47" s="2">
        <v>90.0</v>
      </c>
      <c r="M47" s="2" t="s">
        <v>22</v>
      </c>
      <c r="N47" s="2" t="s">
        <v>49</v>
      </c>
      <c r="O47" s="2" t="s">
        <v>118</v>
      </c>
      <c r="P47" s="2" t="s">
        <v>119</v>
      </c>
      <c r="Q47" s="2" t="s">
        <v>120</v>
      </c>
    </row>
    <row r="48">
      <c r="A48" s="4">
        <f t="shared" si="17"/>
        <v>2</v>
      </c>
      <c r="B48" s="3">
        <f t="shared" si="21"/>
        <v>46038</v>
      </c>
      <c r="C48" s="2" t="s">
        <v>73</v>
      </c>
      <c r="D48" s="2" t="s">
        <v>29</v>
      </c>
      <c r="E48" s="2" t="s">
        <v>25</v>
      </c>
      <c r="F48" s="4" t="str">
        <f>VLOOKUP($E48,Instructors!$A$2:$C693,3,FALSE)</f>
        <v>Self</v>
      </c>
      <c r="G48" s="4" t="str">
        <f t="shared" si="14"/>
        <v>NA</v>
      </c>
      <c r="H48" s="4" t="str">
        <f t="shared" si="3"/>
        <v/>
      </c>
      <c r="J48" s="4" t="str">
        <f>if($E48="Capstone","Capstone",if($E48="Holiday",""))</f>
        <v>Capstone</v>
      </c>
      <c r="K48" s="2">
        <v>90.0</v>
      </c>
      <c r="M48" s="2" t="s">
        <v>32</v>
      </c>
      <c r="N48" s="4"/>
      <c r="O48" s="4"/>
      <c r="P48" s="4"/>
      <c r="Q48" s="4"/>
    </row>
    <row r="49">
      <c r="A49" s="4">
        <f t="shared" si="17"/>
        <v>2</v>
      </c>
      <c r="B49" s="3">
        <f t="shared" si="21"/>
        <v>46038</v>
      </c>
      <c r="C49" s="2" t="s">
        <v>73</v>
      </c>
      <c r="D49" s="2" t="s">
        <v>31</v>
      </c>
      <c r="E49" s="2" t="s">
        <v>121</v>
      </c>
      <c r="F49" s="4" t="str">
        <f>VLOOKUP($E49,Instructors!$A$2:$C693,3,FALSE)</f>
        <v>&gt;40</v>
      </c>
      <c r="G49" s="4" t="str">
        <f t="shared" si="14"/>
        <v/>
      </c>
      <c r="H49" s="4" t="str">
        <f t="shared" si="3"/>
        <v/>
      </c>
      <c r="I49" s="2" t="s">
        <v>123</v>
      </c>
      <c r="J49" s="2" t="s">
        <v>117</v>
      </c>
      <c r="K49" s="2">
        <v>90.0</v>
      </c>
      <c r="M49" s="2" t="s">
        <v>22</v>
      </c>
      <c r="N49" s="2" t="s">
        <v>49</v>
      </c>
      <c r="O49" s="2" t="s">
        <v>118</v>
      </c>
      <c r="P49" s="2" t="s">
        <v>119</v>
      </c>
      <c r="Q49" s="2" t="s">
        <v>120</v>
      </c>
    </row>
    <row r="50">
      <c r="A50" s="4">
        <f t="shared" si="17"/>
        <v>2</v>
      </c>
      <c r="B50" s="3">
        <f t="shared" ref="B50:B53" si="22">B42+2</f>
        <v>46039</v>
      </c>
      <c r="C50" s="2" t="s">
        <v>86</v>
      </c>
      <c r="D50" s="2" t="s">
        <v>18</v>
      </c>
      <c r="E50" s="2" t="s">
        <v>124</v>
      </c>
      <c r="F50" s="4" t="str">
        <f>VLOOKUP($E50,Instructors!$A$2:$C693,3,FALSE)</f>
        <v>&gt;20</v>
      </c>
      <c r="G50" s="4" t="str">
        <f t="shared" si="14"/>
        <v/>
      </c>
      <c r="H50" s="4" t="str">
        <f t="shared" si="3"/>
        <v/>
      </c>
      <c r="I50" s="2" t="s">
        <v>125</v>
      </c>
      <c r="J50" s="2" t="s">
        <v>30</v>
      </c>
      <c r="K50" s="2">
        <v>120.0</v>
      </c>
      <c r="M50" s="2" t="s">
        <v>22</v>
      </c>
      <c r="N50" s="2" t="s">
        <v>23</v>
      </c>
      <c r="O50" s="2" t="s">
        <v>49</v>
      </c>
      <c r="P50" s="2" t="s">
        <v>118</v>
      </c>
      <c r="Q50" s="2" t="s">
        <v>119</v>
      </c>
    </row>
    <row r="51">
      <c r="A51" s="4">
        <f t="shared" si="17"/>
        <v>2</v>
      </c>
      <c r="B51" s="3">
        <f t="shared" si="22"/>
        <v>46039</v>
      </c>
      <c r="C51" s="2" t="s">
        <v>86</v>
      </c>
      <c r="D51" s="2" t="s">
        <v>24</v>
      </c>
      <c r="E51" s="2" t="s">
        <v>92</v>
      </c>
      <c r="F51" s="4" t="str">
        <f>VLOOKUP($E51,Instructors!$A$2:$C693,3,FALSE)</f>
        <v/>
      </c>
      <c r="G51" s="4" t="str">
        <f t="shared" si="14"/>
        <v>NA</v>
      </c>
      <c r="H51" s="4" t="str">
        <f t="shared" si="3"/>
        <v>NA</v>
      </c>
      <c r="J51" s="4" t="str">
        <f t="shared" ref="J51:J57" si="23">if($E51="Capstone","Capstone",if($E51="Holiday",""))</f>
        <v/>
      </c>
      <c r="K51" s="2"/>
      <c r="M51" s="4" t="str">
        <f t="shared" ref="M51:M57" si="24">if($E51="Holiday","Holiday",if($E51="Capstone","Capstone"))</f>
        <v>Holiday</v>
      </c>
      <c r="N51" s="4"/>
      <c r="O51" s="4"/>
      <c r="P51" s="4"/>
      <c r="Q51" s="4"/>
    </row>
    <row r="52">
      <c r="A52" s="4">
        <f t="shared" si="17"/>
        <v>2</v>
      </c>
      <c r="B52" s="3">
        <f t="shared" si="22"/>
        <v>46039</v>
      </c>
      <c r="C52" s="2" t="s">
        <v>86</v>
      </c>
      <c r="D52" s="2" t="s">
        <v>29</v>
      </c>
      <c r="E52" s="2" t="s">
        <v>92</v>
      </c>
      <c r="F52" s="4" t="str">
        <f>VLOOKUP($E52,Instructors!$A$2:$C693,3,FALSE)</f>
        <v/>
      </c>
      <c r="G52" s="4" t="str">
        <f t="shared" si="14"/>
        <v>NA</v>
      </c>
      <c r="H52" s="4" t="str">
        <f t="shared" si="3"/>
        <v>NA</v>
      </c>
      <c r="J52" s="4" t="str">
        <f t="shared" si="23"/>
        <v/>
      </c>
      <c r="K52" s="2" t="str">
        <f t="shared" ref="K52:K57" si="25">if($E52="Holiday","NA")</f>
        <v>NA</v>
      </c>
      <c r="M52" s="4" t="str">
        <f t="shared" si="24"/>
        <v>Holiday</v>
      </c>
      <c r="N52" s="4"/>
      <c r="O52" s="4"/>
      <c r="P52" s="4"/>
      <c r="Q52" s="4"/>
    </row>
    <row r="53">
      <c r="A53" s="4">
        <f t="shared" si="17"/>
        <v>2</v>
      </c>
      <c r="B53" s="3">
        <f t="shared" si="22"/>
        <v>46039</v>
      </c>
      <c r="C53" s="2" t="s">
        <v>86</v>
      </c>
      <c r="D53" s="2" t="s">
        <v>31</v>
      </c>
      <c r="E53" s="2" t="s">
        <v>92</v>
      </c>
      <c r="F53" s="4" t="str">
        <f>VLOOKUP($E53,Instructors!$A$2:$C693,3,FALSE)</f>
        <v/>
      </c>
      <c r="G53" s="4" t="str">
        <f t="shared" si="14"/>
        <v>NA</v>
      </c>
      <c r="H53" s="4" t="str">
        <f t="shared" si="3"/>
        <v>NA</v>
      </c>
      <c r="J53" s="4" t="str">
        <f t="shared" si="23"/>
        <v/>
      </c>
      <c r="K53" s="2" t="str">
        <f t="shared" si="25"/>
        <v>NA</v>
      </c>
      <c r="M53" s="4" t="str">
        <f t="shared" si="24"/>
        <v>Holiday</v>
      </c>
      <c r="N53" s="4"/>
      <c r="O53" s="4"/>
      <c r="P53" s="4"/>
      <c r="Q53" s="4"/>
    </row>
    <row r="54">
      <c r="A54" s="4">
        <f t="shared" si="17"/>
        <v>2</v>
      </c>
      <c r="B54" s="3">
        <f t="shared" ref="B54:B57" si="26">B50+1</f>
        <v>46040</v>
      </c>
      <c r="C54" s="2" t="s">
        <v>93</v>
      </c>
      <c r="D54" s="2" t="s">
        <v>18</v>
      </c>
      <c r="E54" s="2" t="s">
        <v>92</v>
      </c>
      <c r="F54" s="4" t="str">
        <f>VLOOKUP($E54,Instructors!$A$2:$C693,3,FALSE)</f>
        <v/>
      </c>
      <c r="G54" s="4" t="str">
        <f t="shared" si="14"/>
        <v>NA</v>
      </c>
      <c r="H54" s="4" t="str">
        <f t="shared" si="3"/>
        <v>NA</v>
      </c>
      <c r="J54" s="4" t="str">
        <f t="shared" si="23"/>
        <v/>
      </c>
      <c r="K54" s="2" t="str">
        <f t="shared" si="25"/>
        <v>NA</v>
      </c>
      <c r="M54" s="4" t="str">
        <f t="shared" si="24"/>
        <v>Holiday</v>
      </c>
      <c r="N54" s="4"/>
      <c r="O54" s="4"/>
      <c r="P54" s="4"/>
      <c r="Q54" s="4"/>
    </row>
    <row r="55">
      <c r="A55" s="4">
        <f t="shared" si="17"/>
        <v>2</v>
      </c>
      <c r="B55" s="3">
        <f t="shared" si="26"/>
        <v>46040</v>
      </c>
      <c r="C55" s="2" t="s">
        <v>93</v>
      </c>
      <c r="D55" s="2" t="s">
        <v>24</v>
      </c>
      <c r="E55" s="2" t="s">
        <v>92</v>
      </c>
      <c r="F55" s="4" t="str">
        <f>VLOOKUP($E55,Instructors!$A$2:$C693,3,FALSE)</f>
        <v/>
      </c>
      <c r="G55" s="4" t="str">
        <f t="shared" si="14"/>
        <v>NA</v>
      </c>
      <c r="H55" s="4" t="str">
        <f t="shared" si="3"/>
        <v>NA</v>
      </c>
      <c r="J55" s="4" t="str">
        <f t="shared" si="23"/>
        <v/>
      </c>
      <c r="K55" s="2" t="str">
        <f t="shared" si="25"/>
        <v>NA</v>
      </c>
      <c r="M55" s="4" t="str">
        <f t="shared" si="24"/>
        <v>Holiday</v>
      </c>
      <c r="N55" s="4"/>
      <c r="O55" s="4"/>
      <c r="P55" s="4"/>
      <c r="Q55" s="4"/>
    </row>
    <row r="56">
      <c r="A56" s="4">
        <f t="shared" si="17"/>
        <v>2</v>
      </c>
      <c r="B56" s="3">
        <f t="shared" si="26"/>
        <v>46040</v>
      </c>
      <c r="C56" s="2" t="s">
        <v>93</v>
      </c>
      <c r="D56" s="2" t="s">
        <v>29</v>
      </c>
      <c r="E56" s="2" t="s">
        <v>92</v>
      </c>
      <c r="F56" s="4" t="str">
        <f>VLOOKUP($E56,Instructors!$A$2:$C693,3,FALSE)</f>
        <v/>
      </c>
      <c r="G56" s="4" t="str">
        <f t="shared" si="14"/>
        <v>NA</v>
      </c>
      <c r="H56" s="4" t="str">
        <f t="shared" si="3"/>
        <v>NA</v>
      </c>
      <c r="J56" s="4" t="str">
        <f t="shared" si="23"/>
        <v/>
      </c>
      <c r="K56" s="2" t="str">
        <f t="shared" si="25"/>
        <v>NA</v>
      </c>
      <c r="M56" s="4" t="str">
        <f t="shared" si="24"/>
        <v>Holiday</v>
      </c>
      <c r="N56" s="4"/>
      <c r="O56" s="4"/>
      <c r="P56" s="4"/>
      <c r="Q56" s="4"/>
    </row>
    <row r="57">
      <c r="A57" s="4">
        <f t="shared" si="17"/>
        <v>2</v>
      </c>
      <c r="B57" s="3">
        <f t="shared" si="26"/>
        <v>46040</v>
      </c>
      <c r="C57" s="2" t="s">
        <v>93</v>
      </c>
      <c r="D57" s="2" t="s">
        <v>31</v>
      </c>
      <c r="E57" s="2" t="s">
        <v>92</v>
      </c>
      <c r="F57" s="4" t="str">
        <f>VLOOKUP($E57,Instructors!$A$2:$C693,3,FALSE)</f>
        <v/>
      </c>
      <c r="G57" s="4" t="str">
        <f t="shared" si="14"/>
        <v>NA</v>
      </c>
      <c r="H57" s="4" t="str">
        <f t="shared" si="3"/>
        <v>NA</v>
      </c>
      <c r="J57" s="4" t="str">
        <f t="shared" si="23"/>
        <v/>
      </c>
      <c r="K57" s="2" t="str">
        <f t="shared" si="25"/>
        <v>NA</v>
      </c>
      <c r="M57" s="4" t="str">
        <f t="shared" si="24"/>
        <v>Holiday</v>
      </c>
      <c r="N57" s="4"/>
      <c r="O57" s="4"/>
      <c r="P57" s="4"/>
      <c r="Q57" s="4"/>
    </row>
    <row r="58">
      <c r="A58" s="2">
        <v>3.0</v>
      </c>
      <c r="B58" s="3">
        <f t="shared" ref="B58:B61" si="27">B50+2</f>
        <v>46041</v>
      </c>
      <c r="C58" s="2" t="s">
        <v>17</v>
      </c>
      <c r="D58" s="2" t="s">
        <v>18</v>
      </c>
      <c r="E58" s="2" t="s">
        <v>19</v>
      </c>
      <c r="F58" s="4" t="str">
        <f>VLOOKUP($E58,Instructors!$A$2:$C693,3,FALSE)</f>
        <v>&gt;20</v>
      </c>
      <c r="G58" s="4" t="str">
        <f t="shared" si="14"/>
        <v/>
      </c>
      <c r="H58" s="4" t="str">
        <f t="shared" si="3"/>
        <v/>
      </c>
      <c r="I58" s="2" t="s">
        <v>126</v>
      </c>
      <c r="J58" s="2" t="s">
        <v>89</v>
      </c>
      <c r="K58" s="2">
        <v>90.0</v>
      </c>
      <c r="M58" s="2" t="s">
        <v>27</v>
      </c>
      <c r="N58" s="2" t="s">
        <v>90</v>
      </c>
      <c r="O58" s="2" t="s">
        <v>89</v>
      </c>
      <c r="P58" s="4"/>
      <c r="Q58" s="4"/>
    </row>
    <row r="59">
      <c r="A59" s="4">
        <f t="shared" ref="A59:A85" si="28">A58</f>
        <v>3</v>
      </c>
      <c r="B59" s="3">
        <f t="shared" si="27"/>
        <v>46041</v>
      </c>
      <c r="C59" s="2" t="s">
        <v>17</v>
      </c>
      <c r="D59" s="2" t="s">
        <v>24</v>
      </c>
      <c r="E59" s="2" t="s">
        <v>127</v>
      </c>
      <c r="F59" s="4" t="str">
        <f>VLOOKUP($E59,Instructors!$A$2:$C693,3,FALSE)</f>
        <v>&lt;5</v>
      </c>
      <c r="G59" s="4" t="str">
        <f t="shared" si="14"/>
        <v/>
      </c>
      <c r="H59" s="4" t="str">
        <f t="shared" si="3"/>
        <v/>
      </c>
      <c r="I59" s="2" t="s">
        <v>128</v>
      </c>
      <c r="J59" s="2" t="s">
        <v>36</v>
      </c>
      <c r="K59" s="2">
        <v>90.0</v>
      </c>
      <c r="M59" s="2" t="s">
        <v>129</v>
      </c>
      <c r="N59" s="4"/>
      <c r="O59" s="4"/>
      <c r="P59" s="4"/>
      <c r="Q59" s="4"/>
    </row>
    <row r="60">
      <c r="A60" s="4">
        <f t="shared" si="28"/>
        <v>3</v>
      </c>
      <c r="B60" s="3">
        <f t="shared" si="27"/>
        <v>46041</v>
      </c>
      <c r="C60" s="2" t="s">
        <v>17</v>
      </c>
      <c r="D60" s="2" t="s">
        <v>29</v>
      </c>
      <c r="E60" s="2" t="s">
        <v>25</v>
      </c>
      <c r="F60" s="4" t="str">
        <f>VLOOKUP($E60,Instructors!$A$2:$C693,3,FALSE)</f>
        <v>Self</v>
      </c>
      <c r="G60" s="4" t="str">
        <f t="shared" si="14"/>
        <v>NA</v>
      </c>
      <c r="H60" s="4" t="str">
        <f t="shared" si="3"/>
        <v/>
      </c>
      <c r="J60" s="2" t="s">
        <v>36</v>
      </c>
      <c r="K60" s="2">
        <v>90.0</v>
      </c>
      <c r="M60" s="2" t="s">
        <v>32</v>
      </c>
      <c r="N60" s="4"/>
      <c r="O60" s="4"/>
      <c r="P60" s="4"/>
      <c r="Q60" s="4"/>
    </row>
    <row r="61">
      <c r="A61" s="4">
        <f t="shared" si="28"/>
        <v>3</v>
      </c>
      <c r="B61" s="3">
        <f t="shared" si="27"/>
        <v>46041</v>
      </c>
      <c r="C61" s="2" t="s">
        <v>17</v>
      </c>
      <c r="D61" s="2" t="s">
        <v>31</v>
      </c>
      <c r="E61" s="2" t="s">
        <v>127</v>
      </c>
      <c r="F61" s="4" t="str">
        <f>VLOOKUP($E61,Instructors!$A$2:$C693,3,FALSE)</f>
        <v>&lt;5</v>
      </c>
      <c r="G61" s="4" t="str">
        <f t="shared" si="14"/>
        <v/>
      </c>
      <c r="H61" s="4" t="str">
        <f t="shared" si="3"/>
        <v/>
      </c>
      <c r="I61" s="2" t="s">
        <v>130</v>
      </c>
      <c r="J61" s="2" t="s">
        <v>36</v>
      </c>
      <c r="K61" s="2">
        <v>90.0</v>
      </c>
      <c r="M61" s="2" t="s">
        <v>129</v>
      </c>
      <c r="N61" s="4"/>
      <c r="O61" s="4"/>
      <c r="P61" s="4"/>
      <c r="Q61" s="4"/>
    </row>
    <row r="62">
      <c r="A62" s="4">
        <f t="shared" si="28"/>
        <v>3</v>
      </c>
      <c r="B62" s="3">
        <f t="shared" ref="B62:B65" si="29">B58+1</f>
        <v>46042</v>
      </c>
      <c r="C62" s="2" t="s">
        <v>33</v>
      </c>
      <c r="D62" s="2" t="s">
        <v>18</v>
      </c>
      <c r="E62" s="2" t="s">
        <v>127</v>
      </c>
      <c r="F62" s="4" t="str">
        <f>VLOOKUP($E62,Instructors!$A$2:$C693,3,FALSE)</f>
        <v>&lt;5</v>
      </c>
      <c r="G62" s="4" t="str">
        <f t="shared" si="14"/>
        <v/>
      </c>
      <c r="H62" s="4" t="str">
        <f t="shared" si="3"/>
        <v/>
      </c>
      <c r="I62" s="2" t="s">
        <v>131</v>
      </c>
      <c r="J62" s="2" t="s">
        <v>36</v>
      </c>
      <c r="K62" s="2">
        <v>90.0</v>
      </c>
      <c r="M62" s="2" t="s">
        <v>129</v>
      </c>
      <c r="N62" s="2" t="s">
        <v>39</v>
      </c>
      <c r="O62" s="2" t="s">
        <v>132</v>
      </c>
      <c r="P62" s="2" t="s">
        <v>133</v>
      </c>
      <c r="Q62" s="4"/>
    </row>
    <row r="63">
      <c r="A63" s="4">
        <f t="shared" si="28"/>
        <v>3</v>
      </c>
      <c r="B63" s="3">
        <f t="shared" si="29"/>
        <v>46042</v>
      </c>
      <c r="C63" s="2" t="s">
        <v>33</v>
      </c>
      <c r="D63" s="2" t="s">
        <v>24</v>
      </c>
      <c r="E63" s="2" t="s">
        <v>127</v>
      </c>
      <c r="F63" s="4" t="str">
        <f>VLOOKUP($E63,Instructors!$A$2:$C693,3,FALSE)</f>
        <v>&lt;5</v>
      </c>
      <c r="G63" s="4" t="str">
        <f t="shared" si="14"/>
        <v/>
      </c>
      <c r="H63" s="4" t="str">
        <f t="shared" si="3"/>
        <v/>
      </c>
      <c r="I63" s="2"/>
      <c r="J63" s="2" t="s">
        <v>36</v>
      </c>
      <c r="K63" s="2">
        <v>90.0</v>
      </c>
      <c r="M63" s="2" t="s">
        <v>27</v>
      </c>
      <c r="N63" s="2" t="s">
        <v>67</v>
      </c>
      <c r="O63" s="4"/>
      <c r="P63" s="4"/>
      <c r="Q63" s="4"/>
    </row>
    <row r="64">
      <c r="A64" s="4">
        <f t="shared" si="28"/>
        <v>3</v>
      </c>
      <c r="B64" s="3">
        <f t="shared" si="29"/>
        <v>46042</v>
      </c>
      <c r="C64" s="2" t="s">
        <v>33</v>
      </c>
      <c r="D64" s="2" t="s">
        <v>29</v>
      </c>
      <c r="E64" s="2" t="s">
        <v>19</v>
      </c>
      <c r="F64" s="4" t="str">
        <f>VLOOKUP($E64,Instructors!$A$2:$C693,3,FALSE)</f>
        <v>&gt;20</v>
      </c>
      <c r="G64" s="4" t="str">
        <f t="shared" si="14"/>
        <v/>
      </c>
      <c r="H64" s="4" t="str">
        <f t="shared" si="3"/>
        <v/>
      </c>
      <c r="I64" s="2" t="s">
        <v>134</v>
      </c>
      <c r="J64" s="2" t="s">
        <v>30</v>
      </c>
      <c r="K64" s="2">
        <v>120.0</v>
      </c>
      <c r="M64" s="2" t="s">
        <v>27</v>
      </c>
      <c r="N64" s="2" t="s">
        <v>72</v>
      </c>
      <c r="O64" s="2" t="s">
        <v>81</v>
      </c>
      <c r="P64" s="2" t="s">
        <v>49</v>
      </c>
      <c r="Q64" s="4"/>
    </row>
    <row r="65">
      <c r="A65" s="4">
        <f t="shared" si="28"/>
        <v>3</v>
      </c>
      <c r="B65" s="3">
        <f t="shared" si="29"/>
        <v>46042</v>
      </c>
      <c r="C65" s="2" t="s">
        <v>33</v>
      </c>
      <c r="D65" s="2" t="s">
        <v>31</v>
      </c>
      <c r="E65" s="2" t="s">
        <v>25</v>
      </c>
      <c r="F65" s="4" t="str">
        <f>VLOOKUP($E65,Instructors!$A$2:$C693,3,FALSE)</f>
        <v>Self</v>
      </c>
      <c r="G65" s="4" t="str">
        <f t="shared" si="14"/>
        <v>NA</v>
      </c>
      <c r="H65" s="4" t="str">
        <f t="shared" si="3"/>
        <v/>
      </c>
      <c r="J65" s="4" t="str">
        <f>if($E65="Capstone","Capstone",if($E65="Holiday",""))</f>
        <v>Capstone</v>
      </c>
      <c r="K65" s="2">
        <v>90.0</v>
      </c>
      <c r="M65" s="2" t="s">
        <v>32</v>
      </c>
      <c r="N65" s="4"/>
      <c r="O65" s="4"/>
      <c r="P65" s="4"/>
      <c r="Q65" s="4"/>
    </row>
    <row r="66">
      <c r="A66" s="4">
        <f t="shared" si="28"/>
        <v>3</v>
      </c>
      <c r="B66" s="3">
        <f t="shared" ref="B66:B69" si="30">B58+2</f>
        <v>46043</v>
      </c>
      <c r="C66" s="2" t="s">
        <v>45</v>
      </c>
      <c r="D66" s="2" t="s">
        <v>18</v>
      </c>
      <c r="E66" s="2" t="s">
        <v>46</v>
      </c>
      <c r="F66" s="4" t="str">
        <f>VLOOKUP($E66,Instructors!$A$2:$C693,3,FALSE)</f>
        <v>&gt;10</v>
      </c>
      <c r="G66" s="4" t="str">
        <f t="shared" si="14"/>
        <v/>
      </c>
      <c r="H66" s="4" t="str">
        <f t="shared" si="3"/>
        <v/>
      </c>
      <c r="I66" s="2" t="s">
        <v>135</v>
      </c>
      <c r="J66" s="2" t="s">
        <v>21</v>
      </c>
      <c r="K66" s="2">
        <v>90.0</v>
      </c>
      <c r="M66" s="2" t="s">
        <v>22</v>
      </c>
      <c r="N66" s="2" t="s">
        <v>136</v>
      </c>
      <c r="O66" s="2" t="s">
        <v>137</v>
      </c>
      <c r="P66" s="4"/>
      <c r="Q66" s="4"/>
    </row>
    <row r="67">
      <c r="A67" s="4">
        <f t="shared" si="28"/>
        <v>3</v>
      </c>
      <c r="B67" s="3">
        <f t="shared" si="30"/>
        <v>46043</v>
      </c>
      <c r="C67" s="2" t="s">
        <v>45</v>
      </c>
      <c r="D67" s="2" t="s">
        <v>24</v>
      </c>
      <c r="E67" s="2" t="s">
        <v>25</v>
      </c>
      <c r="F67" s="4" t="str">
        <f>VLOOKUP($E67,Instructors!$A$2:$C693,3,FALSE)</f>
        <v>Self</v>
      </c>
      <c r="G67" s="4" t="str">
        <f t="shared" si="14"/>
        <v>NA</v>
      </c>
      <c r="H67" s="4" t="str">
        <f t="shared" si="3"/>
        <v/>
      </c>
      <c r="J67" s="2" t="s">
        <v>36</v>
      </c>
      <c r="K67" s="2">
        <v>120.0</v>
      </c>
      <c r="M67" s="2" t="s">
        <v>25</v>
      </c>
      <c r="N67" s="4"/>
      <c r="O67" s="4"/>
      <c r="P67" s="4"/>
      <c r="Q67" s="4"/>
    </row>
    <row r="68">
      <c r="A68" s="4">
        <f t="shared" si="28"/>
        <v>3</v>
      </c>
      <c r="B68" s="3">
        <f t="shared" si="30"/>
        <v>46043</v>
      </c>
      <c r="C68" s="2" t="s">
        <v>45</v>
      </c>
      <c r="D68" s="2" t="s">
        <v>29</v>
      </c>
      <c r="E68" s="2" t="s">
        <v>127</v>
      </c>
      <c r="F68" s="4" t="str">
        <f>VLOOKUP($E68,Instructors!$A$2:$C693,3,FALSE)</f>
        <v>&lt;5</v>
      </c>
      <c r="G68" s="4" t="str">
        <f t="shared" si="14"/>
        <v/>
      </c>
      <c r="H68" s="4" t="str">
        <f t="shared" si="3"/>
        <v/>
      </c>
      <c r="I68" s="2" t="s">
        <v>138</v>
      </c>
      <c r="J68" s="2" t="s">
        <v>36</v>
      </c>
      <c r="K68" s="2">
        <v>90.0</v>
      </c>
      <c r="M68" s="2" t="s">
        <v>25</v>
      </c>
      <c r="N68" s="4"/>
      <c r="O68" s="4"/>
      <c r="P68" s="4"/>
      <c r="Q68" s="4"/>
    </row>
    <row r="69">
      <c r="A69" s="4">
        <f t="shared" si="28"/>
        <v>3</v>
      </c>
      <c r="B69" s="3">
        <f t="shared" si="30"/>
        <v>46043</v>
      </c>
      <c r="C69" s="2" t="s">
        <v>45</v>
      </c>
      <c r="D69" s="2" t="s">
        <v>31</v>
      </c>
      <c r="E69" s="2" t="s">
        <v>127</v>
      </c>
      <c r="F69" s="4" t="str">
        <f>VLOOKUP($E69,Instructors!$A$2:$C693,3,FALSE)</f>
        <v>&lt;5</v>
      </c>
      <c r="G69" s="4" t="str">
        <f t="shared" si="14"/>
        <v/>
      </c>
      <c r="H69" s="4" t="str">
        <f t="shared" si="3"/>
        <v/>
      </c>
      <c r="I69" s="2" t="s">
        <v>138</v>
      </c>
      <c r="J69" s="2" t="s">
        <v>36</v>
      </c>
      <c r="K69" s="2">
        <v>90.0</v>
      </c>
      <c r="M69" s="2" t="s">
        <v>25</v>
      </c>
      <c r="N69" s="4"/>
      <c r="O69" s="4"/>
      <c r="P69" s="4"/>
      <c r="Q69" s="4"/>
    </row>
    <row r="70">
      <c r="A70" s="4">
        <f t="shared" si="28"/>
        <v>3</v>
      </c>
      <c r="B70" s="3">
        <f t="shared" ref="B70:B73" si="31">B66+1</f>
        <v>46044</v>
      </c>
      <c r="C70" s="2" t="s">
        <v>57</v>
      </c>
      <c r="D70" s="2" t="s">
        <v>18</v>
      </c>
      <c r="E70" s="2" t="s">
        <v>139</v>
      </c>
      <c r="F70" s="4" t="str">
        <f>VLOOKUP($E70,Instructors!$A$2:$C693,3,FALSE)</f>
        <v>&gt;40</v>
      </c>
      <c r="G70" s="4" t="str">
        <f t="shared" si="14"/>
        <v/>
      </c>
      <c r="H70" s="4" t="str">
        <f t="shared" si="3"/>
        <v/>
      </c>
      <c r="I70" s="2" t="s">
        <v>140</v>
      </c>
      <c r="J70" s="2" t="s">
        <v>141</v>
      </c>
      <c r="K70" s="2">
        <v>120.0</v>
      </c>
      <c r="M70" s="2" t="s">
        <v>142</v>
      </c>
      <c r="N70" s="2" t="s">
        <v>28</v>
      </c>
      <c r="O70" s="2" t="s">
        <v>23</v>
      </c>
      <c r="P70" s="4"/>
      <c r="Q70" s="4"/>
    </row>
    <row r="71">
      <c r="A71" s="4">
        <f t="shared" si="28"/>
        <v>3</v>
      </c>
      <c r="B71" s="3">
        <f t="shared" si="31"/>
        <v>46044</v>
      </c>
      <c r="C71" s="2" t="s">
        <v>57</v>
      </c>
      <c r="D71" s="2" t="s">
        <v>24</v>
      </c>
      <c r="E71" s="2" t="s">
        <v>139</v>
      </c>
      <c r="F71" s="4" t="str">
        <f>VLOOKUP($E71,Instructors!$A$2:$C693,3,FALSE)</f>
        <v>&gt;40</v>
      </c>
      <c r="G71" s="4" t="str">
        <f t="shared" si="14"/>
        <v/>
      </c>
      <c r="H71" s="4" t="str">
        <f t="shared" si="3"/>
        <v/>
      </c>
      <c r="I71" s="2" t="s">
        <v>140</v>
      </c>
      <c r="J71" s="2" t="s">
        <v>141</v>
      </c>
      <c r="K71" s="2">
        <v>120.0</v>
      </c>
      <c r="M71" s="2" t="s">
        <v>142</v>
      </c>
      <c r="N71" s="2" t="s">
        <v>28</v>
      </c>
      <c r="O71" s="2" t="s">
        <v>105</v>
      </c>
      <c r="P71" s="4"/>
      <c r="Q71" s="4"/>
    </row>
    <row r="72">
      <c r="A72" s="4">
        <f t="shared" si="28"/>
        <v>3</v>
      </c>
      <c r="B72" s="3">
        <f t="shared" si="31"/>
        <v>46044</v>
      </c>
      <c r="C72" s="2" t="s">
        <v>57</v>
      </c>
      <c r="D72" s="2" t="s">
        <v>29</v>
      </c>
      <c r="E72" s="2" t="s">
        <v>139</v>
      </c>
      <c r="F72" s="4" t="str">
        <f>VLOOKUP($E72,Instructors!$A$2:$C693,3,FALSE)</f>
        <v>&gt;40</v>
      </c>
      <c r="G72" s="4" t="str">
        <f t="shared" si="14"/>
        <v/>
      </c>
      <c r="H72" s="4" t="str">
        <f t="shared" si="3"/>
        <v/>
      </c>
      <c r="I72" s="2" t="s">
        <v>140</v>
      </c>
      <c r="J72" s="2" t="s">
        <v>141</v>
      </c>
      <c r="K72" s="2">
        <v>120.0</v>
      </c>
      <c r="M72" s="2" t="s">
        <v>142</v>
      </c>
      <c r="N72" s="2" t="s">
        <v>28</v>
      </c>
      <c r="O72" s="2" t="s">
        <v>137</v>
      </c>
      <c r="P72" s="4"/>
      <c r="Q72" s="4"/>
    </row>
    <row r="73">
      <c r="A73" s="4">
        <f t="shared" si="28"/>
        <v>3</v>
      </c>
      <c r="B73" s="3">
        <f t="shared" si="31"/>
        <v>46044</v>
      </c>
      <c r="C73" s="2" t="s">
        <v>57</v>
      </c>
      <c r="D73" s="2" t="s">
        <v>31</v>
      </c>
      <c r="E73" s="2" t="s">
        <v>25</v>
      </c>
      <c r="F73" s="4" t="str">
        <f>VLOOKUP($E73,Instructors!$A$2:$C693,3,FALSE)</f>
        <v>Self</v>
      </c>
      <c r="G73" s="4" t="str">
        <f t="shared" si="14"/>
        <v>NA</v>
      </c>
      <c r="H73" s="4" t="str">
        <f t="shared" si="3"/>
        <v/>
      </c>
      <c r="J73" s="4" t="str">
        <f>if($E73="Capstone","Capstone",if($E73="Holiday",""))</f>
        <v>Capstone</v>
      </c>
      <c r="K73" s="2">
        <v>90.0</v>
      </c>
      <c r="M73" s="4" t="str">
        <f>if($E73="Holiday","Holiday",if($E73="Capstone","Capstone"))</f>
        <v>Capstone</v>
      </c>
      <c r="N73" s="4"/>
      <c r="O73" s="4"/>
      <c r="P73" s="4"/>
      <c r="Q73" s="4"/>
    </row>
    <row r="74">
      <c r="A74" s="4">
        <f t="shared" si="28"/>
        <v>3</v>
      </c>
      <c r="B74" s="3">
        <f t="shared" ref="B74:B77" si="32">B66+2</f>
        <v>46045</v>
      </c>
      <c r="C74" s="2" t="s">
        <v>73</v>
      </c>
      <c r="D74" s="2" t="s">
        <v>18</v>
      </c>
      <c r="E74" s="2" t="s">
        <v>115</v>
      </c>
      <c r="F74" s="4" t="str">
        <f>VLOOKUP($E74,Instructors!$A$2:$C693,3,FALSE)</f>
        <v>&gt;20</v>
      </c>
      <c r="G74" s="4" t="str">
        <f t="shared" si="14"/>
        <v/>
      </c>
      <c r="H74" s="4" t="str">
        <f t="shared" si="3"/>
        <v/>
      </c>
      <c r="I74" s="2" t="s">
        <v>143</v>
      </c>
      <c r="J74" s="2" t="s">
        <v>36</v>
      </c>
      <c r="K74" s="2">
        <v>90.0</v>
      </c>
      <c r="M74" s="2" t="s">
        <v>22</v>
      </c>
      <c r="N74" s="4"/>
      <c r="O74" s="4"/>
      <c r="P74" s="4"/>
      <c r="Q74" s="4"/>
    </row>
    <row r="75">
      <c r="A75" s="4">
        <f t="shared" si="28"/>
        <v>3</v>
      </c>
      <c r="B75" s="3">
        <f t="shared" si="32"/>
        <v>46045</v>
      </c>
      <c r="C75" s="2" t="s">
        <v>73</v>
      </c>
      <c r="D75" s="2" t="s">
        <v>24</v>
      </c>
      <c r="E75" s="2" t="s">
        <v>144</v>
      </c>
      <c r="F75" s="4" t="str">
        <f>VLOOKUP($E75,Instructors!$A$2:$C693,3,FALSE)</f>
        <v>&gt;10</v>
      </c>
      <c r="G75" s="4" t="str">
        <f t="shared" si="14"/>
        <v/>
      </c>
      <c r="H75" s="4" t="str">
        <f t="shared" si="3"/>
        <v/>
      </c>
      <c r="I75" s="2" t="s">
        <v>145</v>
      </c>
      <c r="J75" s="2" t="s">
        <v>146</v>
      </c>
      <c r="K75" s="2">
        <v>90.0</v>
      </c>
      <c r="M75" s="2" t="s">
        <v>22</v>
      </c>
      <c r="N75" s="2" t="s">
        <v>147</v>
      </c>
      <c r="O75" s="4"/>
      <c r="P75" s="4"/>
      <c r="Q75" s="4"/>
    </row>
    <row r="76">
      <c r="A76" s="4">
        <f t="shared" si="28"/>
        <v>3</v>
      </c>
      <c r="B76" s="3">
        <f t="shared" si="32"/>
        <v>46045</v>
      </c>
      <c r="C76" s="2" t="s">
        <v>73</v>
      </c>
      <c r="D76" s="2" t="s">
        <v>29</v>
      </c>
      <c r="E76" s="2" t="s">
        <v>25</v>
      </c>
      <c r="F76" s="4" t="str">
        <f>VLOOKUP($E76,Instructors!$A$2:$C693,3,FALSE)</f>
        <v>Self</v>
      </c>
      <c r="G76" s="4" t="str">
        <f t="shared" si="14"/>
        <v>NA</v>
      </c>
      <c r="H76" s="4" t="str">
        <f t="shared" si="3"/>
        <v/>
      </c>
      <c r="J76" s="4" t="str">
        <f>if($E76="Capstone","Capstone",if($E76="Holiday",""))</f>
        <v>Capstone</v>
      </c>
      <c r="K76" s="2">
        <v>90.0</v>
      </c>
      <c r="M76" s="2" t="s">
        <v>32</v>
      </c>
      <c r="N76" s="4"/>
      <c r="O76" s="4"/>
      <c r="P76" s="4"/>
      <c r="Q76" s="4"/>
    </row>
    <row r="77">
      <c r="A77" s="4">
        <f t="shared" si="28"/>
        <v>3</v>
      </c>
      <c r="B77" s="3">
        <f t="shared" si="32"/>
        <v>46045</v>
      </c>
      <c r="C77" s="2" t="s">
        <v>73</v>
      </c>
      <c r="D77" s="2" t="s">
        <v>31</v>
      </c>
      <c r="E77" s="2" t="s">
        <v>127</v>
      </c>
      <c r="F77" s="4" t="str">
        <f>VLOOKUP($E77,Instructors!$A$2:$C693,3,FALSE)</f>
        <v>&lt;5</v>
      </c>
      <c r="G77" s="4" t="str">
        <f t="shared" si="14"/>
        <v/>
      </c>
      <c r="H77" s="4" t="str">
        <f t="shared" si="3"/>
        <v/>
      </c>
      <c r="I77" s="2" t="s">
        <v>148</v>
      </c>
      <c r="J77" s="2" t="s">
        <v>36</v>
      </c>
      <c r="K77" s="2">
        <v>90.0</v>
      </c>
      <c r="M77" s="2" t="s">
        <v>129</v>
      </c>
      <c r="N77" s="2" t="s">
        <v>63</v>
      </c>
      <c r="O77" s="2" t="s">
        <v>149</v>
      </c>
      <c r="P77" s="4"/>
      <c r="Q77" s="4"/>
    </row>
    <row r="78">
      <c r="A78" s="4">
        <f t="shared" si="28"/>
        <v>3</v>
      </c>
      <c r="B78" s="3">
        <f t="shared" ref="B78:B81" si="33">B74+1</f>
        <v>46046</v>
      </c>
      <c r="C78" s="2" t="s">
        <v>86</v>
      </c>
      <c r="D78" s="2" t="s">
        <v>18</v>
      </c>
      <c r="E78" s="2" t="s">
        <v>92</v>
      </c>
      <c r="F78" s="4" t="str">
        <f>VLOOKUP($E78,Instructors!$A$2:$C693,3,FALSE)</f>
        <v/>
      </c>
      <c r="G78" s="4" t="str">
        <f t="shared" si="14"/>
        <v>NA</v>
      </c>
      <c r="H78" s="4" t="str">
        <f t="shared" si="3"/>
        <v>NA</v>
      </c>
      <c r="J78" s="4" t="str">
        <f t="shared" ref="J78:J89" si="34">if($E78="Capstone","Capstone",if($E78="Holiday",""))</f>
        <v/>
      </c>
      <c r="K78" s="2" t="str">
        <f t="shared" ref="K78:K89" si="35">if($E78="Holiday","NA")</f>
        <v>NA</v>
      </c>
      <c r="M78" s="4" t="str">
        <f t="shared" ref="M78:M89" si="36">if($E78="Holiday","Holiday",if($E78="Capstone","Capstone"))</f>
        <v>Holiday</v>
      </c>
      <c r="N78" s="4"/>
      <c r="O78" s="4"/>
      <c r="P78" s="4"/>
      <c r="Q78" s="4"/>
    </row>
    <row r="79">
      <c r="A79" s="4">
        <f t="shared" si="28"/>
        <v>3</v>
      </c>
      <c r="B79" s="3">
        <f t="shared" si="33"/>
        <v>46046</v>
      </c>
      <c r="C79" s="2" t="s">
        <v>86</v>
      </c>
      <c r="D79" s="2" t="s">
        <v>24</v>
      </c>
      <c r="E79" s="2" t="s">
        <v>92</v>
      </c>
      <c r="F79" s="4" t="str">
        <f>VLOOKUP($E79,Instructors!$A$2:$C693,3,FALSE)</f>
        <v/>
      </c>
      <c r="G79" s="4" t="str">
        <f t="shared" si="14"/>
        <v>NA</v>
      </c>
      <c r="H79" s="4" t="str">
        <f t="shared" si="3"/>
        <v>NA</v>
      </c>
      <c r="J79" s="4" t="str">
        <f t="shared" si="34"/>
        <v/>
      </c>
      <c r="K79" s="2" t="str">
        <f t="shared" si="35"/>
        <v>NA</v>
      </c>
      <c r="M79" s="4" t="str">
        <f t="shared" si="36"/>
        <v>Holiday</v>
      </c>
      <c r="N79" s="4"/>
      <c r="O79" s="4"/>
      <c r="P79" s="4"/>
      <c r="Q79" s="4"/>
    </row>
    <row r="80">
      <c r="A80" s="4">
        <f t="shared" si="28"/>
        <v>3</v>
      </c>
      <c r="B80" s="3">
        <f t="shared" si="33"/>
        <v>46046</v>
      </c>
      <c r="C80" s="2" t="s">
        <v>86</v>
      </c>
      <c r="D80" s="2" t="s">
        <v>29</v>
      </c>
      <c r="E80" s="2" t="s">
        <v>92</v>
      </c>
      <c r="F80" s="4" t="str">
        <f>VLOOKUP($E80,Instructors!$A$2:$C693,3,FALSE)</f>
        <v/>
      </c>
      <c r="G80" s="4" t="str">
        <f t="shared" si="14"/>
        <v>NA</v>
      </c>
      <c r="H80" s="4" t="str">
        <f t="shared" si="3"/>
        <v>NA</v>
      </c>
      <c r="J80" s="4" t="str">
        <f t="shared" si="34"/>
        <v/>
      </c>
      <c r="K80" s="2" t="str">
        <f t="shared" si="35"/>
        <v>NA</v>
      </c>
      <c r="M80" s="4" t="str">
        <f t="shared" si="36"/>
        <v>Holiday</v>
      </c>
      <c r="N80" s="4"/>
      <c r="O80" s="4"/>
      <c r="P80" s="4"/>
      <c r="Q80" s="4"/>
    </row>
    <row r="81">
      <c r="A81" s="4">
        <f t="shared" si="28"/>
        <v>3</v>
      </c>
      <c r="B81" s="3">
        <f t="shared" si="33"/>
        <v>46046</v>
      </c>
      <c r="C81" s="2" t="s">
        <v>86</v>
      </c>
      <c r="D81" s="2" t="s">
        <v>31</v>
      </c>
      <c r="E81" s="2" t="s">
        <v>92</v>
      </c>
      <c r="F81" s="4" t="str">
        <f>VLOOKUP($E81,Instructors!$A$2:$C693,3,FALSE)</f>
        <v/>
      </c>
      <c r="G81" s="4" t="str">
        <f t="shared" si="14"/>
        <v>NA</v>
      </c>
      <c r="H81" s="4" t="str">
        <f t="shared" si="3"/>
        <v>NA</v>
      </c>
      <c r="J81" s="4" t="str">
        <f t="shared" si="34"/>
        <v/>
      </c>
      <c r="K81" s="2" t="str">
        <f t="shared" si="35"/>
        <v>NA</v>
      </c>
      <c r="M81" s="4" t="str">
        <f t="shared" si="36"/>
        <v>Holiday</v>
      </c>
      <c r="N81" s="4"/>
      <c r="O81" s="4"/>
      <c r="P81" s="4"/>
      <c r="Q81" s="4"/>
    </row>
    <row r="82">
      <c r="A82" s="4">
        <f t="shared" si="28"/>
        <v>3</v>
      </c>
      <c r="B82" s="3">
        <f t="shared" ref="B82:B85" si="37">B74+2</f>
        <v>46047</v>
      </c>
      <c r="C82" s="2" t="s">
        <v>93</v>
      </c>
      <c r="D82" s="2" t="s">
        <v>18</v>
      </c>
      <c r="E82" s="2" t="s">
        <v>92</v>
      </c>
      <c r="F82" s="4" t="str">
        <f>VLOOKUP($E82,Instructors!$A$2:$C693,3,FALSE)</f>
        <v/>
      </c>
      <c r="G82" s="4" t="str">
        <f t="shared" si="14"/>
        <v>NA</v>
      </c>
      <c r="H82" s="4" t="str">
        <f t="shared" si="3"/>
        <v>NA</v>
      </c>
      <c r="J82" s="4" t="str">
        <f t="shared" si="34"/>
        <v/>
      </c>
      <c r="K82" s="2" t="str">
        <f t="shared" si="35"/>
        <v>NA</v>
      </c>
      <c r="M82" s="4" t="str">
        <f t="shared" si="36"/>
        <v>Holiday</v>
      </c>
      <c r="N82" s="4"/>
      <c r="O82" s="4"/>
      <c r="P82" s="4"/>
      <c r="Q82" s="4"/>
    </row>
    <row r="83">
      <c r="A83" s="4">
        <f t="shared" si="28"/>
        <v>3</v>
      </c>
      <c r="B83" s="3">
        <f t="shared" si="37"/>
        <v>46047</v>
      </c>
      <c r="C83" s="2" t="s">
        <v>93</v>
      </c>
      <c r="D83" s="2" t="s">
        <v>24</v>
      </c>
      <c r="E83" s="2" t="s">
        <v>92</v>
      </c>
      <c r="F83" s="4" t="str">
        <f>VLOOKUP($E83,Instructors!$A$2:$C693,3,FALSE)</f>
        <v/>
      </c>
      <c r="G83" s="4" t="str">
        <f t="shared" si="14"/>
        <v>NA</v>
      </c>
      <c r="H83" s="4" t="str">
        <f t="shared" si="3"/>
        <v>NA</v>
      </c>
      <c r="J83" s="4" t="str">
        <f t="shared" si="34"/>
        <v/>
      </c>
      <c r="K83" s="2" t="str">
        <f t="shared" si="35"/>
        <v>NA</v>
      </c>
      <c r="M83" s="4" t="str">
        <f t="shared" si="36"/>
        <v>Holiday</v>
      </c>
      <c r="N83" s="4"/>
      <c r="O83" s="4"/>
      <c r="P83" s="4"/>
      <c r="Q83" s="4"/>
    </row>
    <row r="84">
      <c r="A84" s="4">
        <f t="shared" si="28"/>
        <v>3</v>
      </c>
      <c r="B84" s="3">
        <f t="shared" si="37"/>
        <v>46047</v>
      </c>
      <c r="C84" s="2" t="s">
        <v>93</v>
      </c>
      <c r="D84" s="2" t="s">
        <v>29</v>
      </c>
      <c r="E84" s="2" t="s">
        <v>92</v>
      </c>
      <c r="F84" s="4" t="str">
        <f>VLOOKUP($E84,Instructors!$A$2:$C693,3,FALSE)</f>
        <v/>
      </c>
      <c r="G84" s="4" t="str">
        <f t="shared" si="14"/>
        <v>NA</v>
      </c>
      <c r="H84" s="4" t="str">
        <f t="shared" si="3"/>
        <v>NA</v>
      </c>
      <c r="J84" s="4" t="str">
        <f t="shared" si="34"/>
        <v/>
      </c>
      <c r="K84" s="2" t="str">
        <f t="shared" si="35"/>
        <v>NA</v>
      </c>
      <c r="M84" s="4" t="str">
        <f t="shared" si="36"/>
        <v>Holiday</v>
      </c>
      <c r="N84" s="4"/>
      <c r="O84" s="4"/>
      <c r="P84" s="4"/>
      <c r="Q84" s="4"/>
    </row>
    <row r="85">
      <c r="A85" s="4">
        <f t="shared" si="28"/>
        <v>3</v>
      </c>
      <c r="B85" s="3">
        <f t="shared" si="37"/>
        <v>46047</v>
      </c>
      <c r="C85" s="2" t="s">
        <v>93</v>
      </c>
      <c r="D85" s="2" t="s">
        <v>31</v>
      </c>
      <c r="E85" s="2" t="s">
        <v>92</v>
      </c>
      <c r="F85" s="4" t="str">
        <f>VLOOKUP($E85,Instructors!$A$2:$C693,3,FALSE)</f>
        <v/>
      </c>
      <c r="G85" s="4" t="str">
        <f t="shared" si="14"/>
        <v>NA</v>
      </c>
      <c r="H85" s="4" t="str">
        <f t="shared" si="3"/>
        <v>NA</v>
      </c>
      <c r="J85" s="4" t="str">
        <f t="shared" si="34"/>
        <v/>
      </c>
      <c r="K85" s="2" t="str">
        <f t="shared" si="35"/>
        <v>NA</v>
      </c>
      <c r="M85" s="4" t="str">
        <f t="shared" si="36"/>
        <v>Holiday</v>
      </c>
      <c r="N85" s="4"/>
      <c r="O85" s="4"/>
      <c r="P85" s="4"/>
      <c r="Q85" s="4"/>
    </row>
    <row r="86">
      <c r="A86" s="2">
        <v>4.0</v>
      </c>
      <c r="B86" s="3">
        <f t="shared" ref="B86:B89" si="38">B82+1</f>
        <v>46048</v>
      </c>
      <c r="C86" s="2" t="s">
        <v>17</v>
      </c>
      <c r="D86" s="2" t="s">
        <v>18</v>
      </c>
      <c r="E86" s="2" t="s">
        <v>92</v>
      </c>
      <c r="F86" s="4" t="str">
        <f>VLOOKUP($E86,Instructors!$A$2:$C693,3,FALSE)</f>
        <v/>
      </c>
      <c r="G86" s="4" t="str">
        <f t="shared" si="14"/>
        <v>NA</v>
      </c>
      <c r="H86" s="4" t="str">
        <f t="shared" si="3"/>
        <v>NA</v>
      </c>
      <c r="J86" s="4" t="str">
        <f t="shared" si="34"/>
        <v/>
      </c>
      <c r="K86" s="2" t="str">
        <f t="shared" si="35"/>
        <v>NA</v>
      </c>
      <c r="M86" s="4" t="str">
        <f t="shared" si="36"/>
        <v>Holiday</v>
      </c>
      <c r="N86" s="4"/>
      <c r="O86" s="4"/>
      <c r="P86" s="4"/>
      <c r="Q86" s="4"/>
    </row>
    <row r="87">
      <c r="A87" s="2">
        <v>4.0</v>
      </c>
      <c r="B87" s="3">
        <f t="shared" si="38"/>
        <v>46048</v>
      </c>
      <c r="C87" s="2" t="s">
        <v>17</v>
      </c>
      <c r="D87" s="2" t="s">
        <v>24</v>
      </c>
      <c r="E87" s="2" t="s">
        <v>92</v>
      </c>
      <c r="F87" s="4" t="str">
        <f>VLOOKUP($E87,Instructors!$A$2:$C693,3,FALSE)</f>
        <v/>
      </c>
      <c r="G87" s="4" t="str">
        <f t="shared" si="14"/>
        <v>NA</v>
      </c>
      <c r="H87" s="4" t="str">
        <f t="shared" si="3"/>
        <v>NA</v>
      </c>
      <c r="J87" s="4" t="str">
        <f t="shared" si="34"/>
        <v/>
      </c>
      <c r="K87" s="2" t="str">
        <f t="shared" si="35"/>
        <v>NA</v>
      </c>
      <c r="M87" s="4" t="str">
        <f t="shared" si="36"/>
        <v>Holiday</v>
      </c>
      <c r="N87" s="4"/>
      <c r="O87" s="4"/>
      <c r="P87" s="4"/>
      <c r="Q87" s="4"/>
    </row>
    <row r="88">
      <c r="A88" s="2">
        <v>4.0</v>
      </c>
      <c r="B88" s="3">
        <f t="shared" si="38"/>
        <v>46048</v>
      </c>
      <c r="C88" s="2" t="s">
        <v>17</v>
      </c>
      <c r="D88" s="2" t="s">
        <v>29</v>
      </c>
      <c r="E88" s="2" t="s">
        <v>92</v>
      </c>
      <c r="F88" s="4" t="str">
        <f>VLOOKUP($E88,Instructors!$A$2:$C693,3,FALSE)</f>
        <v/>
      </c>
      <c r="G88" s="4" t="str">
        <f t="shared" si="14"/>
        <v>NA</v>
      </c>
      <c r="H88" s="4" t="str">
        <f t="shared" si="3"/>
        <v>NA</v>
      </c>
      <c r="J88" s="4" t="str">
        <f t="shared" si="34"/>
        <v/>
      </c>
      <c r="K88" s="2" t="str">
        <f t="shared" si="35"/>
        <v>NA</v>
      </c>
      <c r="M88" s="4" t="str">
        <f t="shared" si="36"/>
        <v>Holiday</v>
      </c>
      <c r="N88" s="4"/>
      <c r="O88" s="4"/>
      <c r="P88" s="4"/>
      <c r="Q88" s="4"/>
    </row>
    <row r="89">
      <c r="A89" s="2">
        <v>4.0</v>
      </c>
      <c r="B89" s="3">
        <f t="shared" si="38"/>
        <v>46048</v>
      </c>
      <c r="C89" s="2" t="s">
        <v>17</v>
      </c>
      <c r="D89" s="2" t="s">
        <v>31</v>
      </c>
      <c r="E89" s="2" t="s">
        <v>92</v>
      </c>
      <c r="F89" s="4" t="str">
        <f>VLOOKUP($E89,Instructors!$A$2:$C693,3,FALSE)</f>
        <v/>
      </c>
      <c r="G89" s="4" t="str">
        <f t="shared" si="14"/>
        <v>NA</v>
      </c>
      <c r="H89" s="4" t="str">
        <f t="shared" si="3"/>
        <v>NA</v>
      </c>
      <c r="J89" s="4" t="str">
        <f t="shared" si="34"/>
        <v/>
      </c>
      <c r="K89" s="2" t="str">
        <f t="shared" si="35"/>
        <v>NA</v>
      </c>
      <c r="M89" s="4" t="str">
        <f t="shared" si="36"/>
        <v>Holiday</v>
      </c>
      <c r="N89" s="4"/>
      <c r="O89" s="4"/>
      <c r="P89" s="4"/>
      <c r="Q89" s="4"/>
    </row>
    <row r="90">
      <c r="A90" s="2">
        <v>4.0</v>
      </c>
      <c r="B90" s="3">
        <f t="shared" ref="B90:B93" si="39">B82+2</f>
        <v>46049</v>
      </c>
      <c r="C90" s="2" t="s">
        <v>33</v>
      </c>
      <c r="D90" s="2" t="s">
        <v>18</v>
      </c>
      <c r="E90" s="2" t="s">
        <v>127</v>
      </c>
      <c r="F90" s="4" t="str">
        <f>VLOOKUP($E90,Instructors!$A$2:$C693,3,FALSE)</f>
        <v>&lt;5</v>
      </c>
      <c r="G90" s="4" t="str">
        <f t="shared" si="14"/>
        <v/>
      </c>
      <c r="H90" s="4" t="str">
        <f t="shared" si="3"/>
        <v/>
      </c>
      <c r="I90" s="2" t="s">
        <v>150</v>
      </c>
      <c r="J90" s="2" t="s">
        <v>141</v>
      </c>
      <c r="K90" s="2">
        <v>90.0</v>
      </c>
      <c r="M90" s="2" t="s">
        <v>22</v>
      </c>
      <c r="N90" s="2" t="s">
        <v>41</v>
      </c>
      <c r="O90" s="2" t="s">
        <v>44</v>
      </c>
      <c r="P90" s="4"/>
      <c r="Q90" s="4"/>
    </row>
    <row r="91">
      <c r="A91" s="2">
        <v>4.0</v>
      </c>
      <c r="B91" s="3">
        <f t="shared" si="39"/>
        <v>46049</v>
      </c>
      <c r="C91" s="2" t="s">
        <v>33</v>
      </c>
      <c r="D91" s="2" t="s">
        <v>24</v>
      </c>
      <c r="E91" s="2" t="s">
        <v>127</v>
      </c>
      <c r="F91" s="4" t="str">
        <f>VLOOKUP($E91,Instructors!$A$2:$C693,3,FALSE)</f>
        <v>&lt;5</v>
      </c>
      <c r="G91" s="4" t="str">
        <f t="shared" si="14"/>
        <v/>
      </c>
      <c r="H91" s="4" t="str">
        <f t="shared" si="3"/>
        <v/>
      </c>
      <c r="I91" s="2" t="s">
        <v>151</v>
      </c>
      <c r="J91" s="2" t="s">
        <v>141</v>
      </c>
      <c r="K91" s="2">
        <v>120.0</v>
      </c>
      <c r="M91" s="2" t="s">
        <v>22</v>
      </c>
      <c r="N91" s="2" t="s">
        <v>55</v>
      </c>
      <c r="O91" s="2" t="s">
        <v>37</v>
      </c>
      <c r="P91" s="2" t="s">
        <v>44</v>
      </c>
      <c r="Q91" s="2" t="s">
        <v>41</v>
      </c>
    </row>
    <row r="92">
      <c r="A92" s="2">
        <v>4.0</v>
      </c>
      <c r="B92" s="3">
        <f t="shared" si="39"/>
        <v>46049</v>
      </c>
      <c r="C92" s="2" t="s">
        <v>33</v>
      </c>
      <c r="D92" s="2" t="s">
        <v>29</v>
      </c>
      <c r="E92" s="2" t="s">
        <v>25</v>
      </c>
      <c r="F92" s="4" t="str">
        <f>VLOOKUP($E92,Instructors!$A$2:$C693,3,FALSE)</f>
        <v>Self</v>
      </c>
      <c r="G92" s="4" t="str">
        <f t="shared" si="14"/>
        <v>NA</v>
      </c>
      <c r="H92" s="4" t="str">
        <f t="shared" si="3"/>
        <v/>
      </c>
      <c r="J92" s="4" t="str">
        <f>if($E92="Capstone","Capstone",if($E92="Holiday",""))</f>
        <v>Capstone</v>
      </c>
      <c r="K92" s="2">
        <v>90.0</v>
      </c>
      <c r="M92" s="4" t="str">
        <f>if($E92="Holiday","Holiday",if($E92="Capstone","Capstone"))</f>
        <v>Capstone</v>
      </c>
      <c r="N92" s="4"/>
      <c r="O92" s="4"/>
      <c r="P92" s="4"/>
      <c r="Q92" s="4"/>
    </row>
    <row r="93">
      <c r="A93" s="2">
        <v>4.0</v>
      </c>
      <c r="B93" s="3">
        <f t="shared" si="39"/>
        <v>46049</v>
      </c>
      <c r="C93" s="2" t="s">
        <v>33</v>
      </c>
      <c r="D93" s="2" t="s">
        <v>31</v>
      </c>
      <c r="E93" s="2" t="s">
        <v>127</v>
      </c>
      <c r="F93" s="4" t="str">
        <f>VLOOKUP($E93,Instructors!$A$2:$C693,3,FALSE)</f>
        <v>&lt;5</v>
      </c>
      <c r="G93" s="4" t="str">
        <f t="shared" si="14"/>
        <v/>
      </c>
      <c r="H93" s="4" t="str">
        <f t="shared" si="3"/>
        <v/>
      </c>
      <c r="I93" s="2" t="s">
        <v>152</v>
      </c>
      <c r="J93" s="2" t="s">
        <v>141</v>
      </c>
      <c r="K93" s="2">
        <v>90.0</v>
      </c>
      <c r="M93" s="2" t="s">
        <v>153</v>
      </c>
      <c r="N93" s="2" t="s">
        <v>64</v>
      </c>
      <c r="O93" s="2" t="s">
        <v>37</v>
      </c>
      <c r="P93" s="2" t="s">
        <v>41</v>
      </c>
      <c r="Q93" s="4"/>
    </row>
    <row r="94">
      <c r="A94" s="2">
        <v>4.0</v>
      </c>
      <c r="B94" s="3">
        <f t="shared" ref="B94:B97" si="40">B90+1</f>
        <v>46050</v>
      </c>
      <c r="C94" s="2" t="s">
        <v>45</v>
      </c>
      <c r="D94" s="2" t="s">
        <v>18</v>
      </c>
      <c r="E94" s="2" t="s">
        <v>46</v>
      </c>
      <c r="F94" s="4" t="str">
        <f>VLOOKUP($E94,Instructors!$A$2:$C693,3,FALSE)</f>
        <v>&gt;10</v>
      </c>
      <c r="G94" s="4" t="str">
        <f t="shared" si="14"/>
        <v/>
      </c>
      <c r="H94" s="4" t="str">
        <f t="shared" si="3"/>
        <v/>
      </c>
      <c r="I94" s="2" t="s">
        <v>154</v>
      </c>
      <c r="J94" s="2" t="s">
        <v>21</v>
      </c>
      <c r="K94" s="2">
        <v>90.0</v>
      </c>
      <c r="M94" s="2" t="s">
        <v>22</v>
      </c>
      <c r="N94" s="2" t="s">
        <v>155</v>
      </c>
      <c r="O94" s="2"/>
      <c r="P94" s="4"/>
      <c r="Q94" s="4"/>
    </row>
    <row r="95">
      <c r="A95" s="2">
        <v>4.0</v>
      </c>
      <c r="B95" s="3">
        <f t="shared" si="40"/>
        <v>46050</v>
      </c>
      <c r="C95" s="2" t="s">
        <v>45</v>
      </c>
      <c r="D95" s="2" t="s">
        <v>24</v>
      </c>
      <c r="E95" s="2" t="s">
        <v>25</v>
      </c>
      <c r="F95" s="4" t="str">
        <f>VLOOKUP($E95,Instructors!$A$2:$C693,3,FALSE)</f>
        <v>Self</v>
      </c>
      <c r="G95" s="4" t="str">
        <f t="shared" si="14"/>
        <v>NA</v>
      </c>
      <c r="H95" s="4" t="str">
        <f t="shared" si="3"/>
        <v/>
      </c>
      <c r="J95" s="4" t="str">
        <f>if($E95="Capstone","Capstone",if($E95="Holiday",""))</f>
        <v>Capstone</v>
      </c>
      <c r="K95" s="2">
        <v>90.0</v>
      </c>
      <c r="M95" s="4" t="str">
        <f>if($E95="Holiday","Holiday",if($E95="Capstone","Capstone"))</f>
        <v>Capstone</v>
      </c>
      <c r="N95" s="4"/>
      <c r="O95" s="4"/>
      <c r="P95" s="4"/>
      <c r="Q95" s="4"/>
    </row>
    <row r="96">
      <c r="A96" s="2">
        <v>4.0</v>
      </c>
      <c r="B96" s="3">
        <f t="shared" si="40"/>
        <v>46050</v>
      </c>
      <c r="C96" s="2" t="s">
        <v>45</v>
      </c>
      <c r="D96" s="2" t="s">
        <v>29</v>
      </c>
      <c r="E96" s="2" t="s">
        <v>156</v>
      </c>
      <c r="F96" s="4" t="str">
        <f>VLOOKUP($E96,Instructors!$A$2:$C693,3,FALSE)</f>
        <v>&gt;20</v>
      </c>
      <c r="G96" s="4" t="str">
        <f t="shared" si="14"/>
        <v/>
      </c>
      <c r="H96" s="4" t="str">
        <f t="shared" si="3"/>
        <v/>
      </c>
      <c r="I96" s="2" t="s">
        <v>157</v>
      </c>
      <c r="J96" s="2" t="s">
        <v>141</v>
      </c>
      <c r="K96" s="2">
        <v>90.0</v>
      </c>
      <c r="M96" s="2" t="s">
        <v>22</v>
      </c>
      <c r="N96" s="2" t="s">
        <v>44</v>
      </c>
      <c r="O96" s="2" t="s">
        <v>64</v>
      </c>
      <c r="P96" s="4"/>
      <c r="Q96" s="4"/>
    </row>
    <row r="97">
      <c r="A97" s="2">
        <v>4.0</v>
      </c>
      <c r="B97" s="3">
        <f t="shared" si="40"/>
        <v>46050</v>
      </c>
      <c r="C97" s="2" t="s">
        <v>45</v>
      </c>
      <c r="D97" s="2" t="s">
        <v>31</v>
      </c>
      <c r="E97" s="2" t="s">
        <v>156</v>
      </c>
      <c r="F97" s="4" t="str">
        <f>VLOOKUP($E97,Instructors!$A$2:$C693,3,FALSE)</f>
        <v>&gt;20</v>
      </c>
      <c r="G97" s="4" t="str">
        <f t="shared" si="14"/>
        <v/>
      </c>
      <c r="H97" s="4" t="str">
        <f t="shared" si="3"/>
        <v/>
      </c>
      <c r="I97" s="2" t="s">
        <v>157</v>
      </c>
      <c r="J97" s="2" t="s">
        <v>141</v>
      </c>
      <c r="K97" s="2">
        <v>90.0</v>
      </c>
      <c r="M97" s="2" t="s">
        <v>22</v>
      </c>
      <c r="N97" s="2" t="s">
        <v>44</v>
      </c>
      <c r="O97" s="2" t="s">
        <v>158</v>
      </c>
      <c r="P97" s="4"/>
      <c r="Q97" s="4"/>
    </row>
    <row r="98">
      <c r="A98" s="2">
        <v>4.0</v>
      </c>
      <c r="B98" s="3">
        <f t="shared" ref="B98:B101" si="41">B90+2</f>
        <v>46051</v>
      </c>
      <c r="C98" s="2" t="s">
        <v>57</v>
      </c>
      <c r="D98" s="2" t="s">
        <v>18</v>
      </c>
      <c r="E98" s="2" t="s">
        <v>19</v>
      </c>
      <c r="F98" s="4" t="str">
        <f>VLOOKUP($E98,Instructors!$A$2:$C693,3,FALSE)</f>
        <v>&gt;20</v>
      </c>
      <c r="G98" s="4" t="str">
        <f t="shared" si="14"/>
        <v/>
      </c>
      <c r="H98" s="4" t="str">
        <f t="shared" si="3"/>
        <v/>
      </c>
      <c r="I98" s="2" t="s">
        <v>159</v>
      </c>
      <c r="J98" s="2" t="s">
        <v>30</v>
      </c>
      <c r="K98" s="2">
        <v>60.0</v>
      </c>
      <c r="M98" s="2" t="s">
        <v>22</v>
      </c>
      <c r="N98" s="2" t="s">
        <v>159</v>
      </c>
      <c r="O98" s="4"/>
      <c r="P98" s="4"/>
      <c r="Q98" s="4"/>
    </row>
    <row r="99">
      <c r="A99" s="2">
        <v>4.0</v>
      </c>
      <c r="B99" s="3">
        <f t="shared" si="41"/>
        <v>46051</v>
      </c>
      <c r="C99" s="2" t="s">
        <v>57</v>
      </c>
      <c r="D99" s="2" t="s">
        <v>24</v>
      </c>
      <c r="E99" s="2" t="s">
        <v>160</v>
      </c>
      <c r="F99" s="4" t="str">
        <f>VLOOKUP($E99,Instructors!$A$2:$C693,3,FALSE)</f>
        <v>&lt;5</v>
      </c>
      <c r="G99" s="4" t="str">
        <f t="shared" si="14"/>
        <v/>
      </c>
      <c r="H99" s="4" t="str">
        <f t="shared" si="3"/>
        <v/>
      </c>
      <c r="I99" s="2" t="s">
        <v>161</v>
      </c>
      <c r="J99" s="2" t="s">
        <v>25</v>
      </c>
      <c r="K99" s="2">
        <v>120.0</v>
      </c>
      <c r="M99" s="2" t="s">
        <v>27</v>
      </c>
      <c r="N99" s="2" t="s">
        <v>83</v>
      </c>
      <c r="O99" s="2" t="s">
        <v>118</v>
      </c>
      <c r="P99" s="4"/>
      <c r="Q99" s="4"/>
    </row>
    <row r="100">
      <c r="A100" s="2">
        <v>4.0</v>
      </c>
      <c r="B100" s="3">
        <f t="shared" si="41"/>
        <v>46051</v>
      </c>
      <c r="C100" s="2" t="s">
        <v>57</v>
      </c>
      <c r="D100" s="2" t="s">
        <v>29</v>
      </c>
      <c r="E100" s="2" t="s">
        <v>25</v>
      </c>
      <c r="F100" s="4" t="str">
        <f>VLOOKUP($E100,Instructors!$A$2:$C693,3,FALSE)</f>
        <v>Self</v>
      </c>
      <c r="G100" s="4" t="str">
        <f t="shared" si="14"/>
        <v>NA</v>
      </c>
      <c r="H100" s="4" t="str">
        <f t="shared" si="3"/>
        <v/>
      </c>
      <c r="J100" s="2" t="s">
        <v>25</v>
      </c>
      <c r="K100" s="2">
        <v>90.0</v>
      </c>
      <c r="M100" s="4" t="str">
        <f>if($E100="Holiday","Holiday",if($E100="Capstone","Capstone"))</f>
        <v>Capstone</v>
      </c>
      <c r="N100" s="4"/>
      <c r="O100" s="4"/>
      <c r="P100" s="4"/>
      <c r="Q100" s="4"/>
    </row>
    <row r="101">
      <c r="A101" s="2">
        <v>4.0</v>
      </c>
      <c r="B101" s="3">
        <f t="shared" si="41"/>
        <v>46051</v>
      </c>
      <c r="C101" s="2" t="s">
        <v>57</v>
      </c>
      <c r="D101" s="2" t="s">
        <v>31</v>
      </c>
      <c r="E101" s="2" t="s">
        <v>160</v>
      </c>
      <c r="F101" s="4" t="str">
        <f>VLOOKUP($E101,Instructors!$A$2:$C693,3,FALSE)</f>
        <v>&lt;5</v>
      </c>
      <c r="G101" s="4" t="str">
        <f t="shared" si="14"/>
        <v/>
      </c>
      <c r="H101" s="4" t="str">
        <f t="shared" si="3"/>
        <v/>
      </c>
      <c r="I101" s="2" t="s">
        <v>162</v>
      </c>
      <c r="J101" s="2" t="s">
        <v>25</v>
      </c>
      <c r="K101" s="2">
        <v>90.0</v>
      </c>
      <c r="M101" s="2" t="s">
        <v>27</v>
      </c>
      <c r="N101" s="2" t="s">
        <v>83</v>
      </c>
      <c r="O101" s="2" t="s">
        <v>119</v>
      </c>
      <c r="P101" s="2"/>
      <c r="Q101" s="4"/>
    </row>
    <row r="102">
      <c r="A102" s="2">
        <v>4.0</v>
      </c>
      <c r="B102" s="3">
        <f t="shared" ref="B102:B105" si="42">B98+1</f>
        <v>46052</v>
      </c>
      <c r="C102" s="2" t="s">
        <v>73</v>
      </c>
      <c r="D102" s="2" t="s">
        <v>18</v>
      </c>
      <c r="E102" s="2" t="s">
        <v>46</v>
      </c>
      <c r="F102" s="4" t="str">
        <f>VLOOKUP($E102,Instructors!$A$2:$C693,3,FALSE)</f>
        <v>&gt;10</v>
      </c>
      <c r="G102" s="4" t="str">
        <f t="shared" si="14"/>
        <v/>
      </c>
      <c r="H102" s="4" t="str">
        <f t="shared" si="3"/>
        <v/>
      </c>
      <c r="I102" s="2" t="s">
        <v>163</v>
      </c>
      <c r="J102" s="2" t="s">
        <v>21</v>
      </c>
      <c r="K102" s="2">
        <v>90.0</v>
      </c>
      <c r="M102" s="2" t="s">
        <v>129</v>
      </c>
      <c r="N102" s="2" t="s">
        <v>28</v>
      </c>
      <c r="O102" s="4"/>
      <c r="P102" s="4"/>
      <c r="Q102" s="4"/>
    </row>
    <row r="103">
      <c r="A103" s="2">
        <v>4.0</v>
      </c>
      <c r="B103" s="3">
        <f t="shared" si="42"/>
        <v>46052</v>
      </c>
      <c r="C103" s="2" t="s">
        <v>73</v>
      </c>
      <c r="D103" s="2" t="s">
        <v>24</v>
      </c>
      <c r="E103" s="2" t="s">
        <v>144</v>
      </c>
      <c r="F103" s="4" t="str">
        <f>VLOOKUP($E103,Instructors!$A$2:$C693,3,FALSE)</f>
        <v>&gt;10</v>
      </c>
      <c r="G103" s="4" t="str">
        <f t="shared" si="14"/>
        <v/>
      </c>
      <c r="H103" s="4" t="str">
        <f t="shared" si="3"/>
        <v/>
      </c>
      <c r="I103" s="2" t="s">
        <v>77</v>
      </c>
      <c r="J103" s="2" t="s">
        <v>146</v>
      </c>
      <c r="K103" s="2">
        <v>90.0</v>
      </c>
      <c r="M103" s="2" t="s">
        <v>22</v>
      </c>
      <c r="N103" s="2" t="s">
        <v>77</v>
      </c>
      <c r="O103" s="4"/>
      <c r="P103" s="4"/>
      <c r="Q103" s="2"/>
    </row>
    <row r="104">
      <c r="A104" s="2">
        <v>4.0</v>
      </c>
      <c r="B104" s="3">
        <f t="shared" si="42"/>
        <v>46052</v>
      </c>
      <c r="C104" s="2" t="s">
        <v>73</v>
      </c>
      <c r="D104" s="2" t="s">
        <v>29</v>
      </c>
      <c r="E104" s="2" t="s">
        <v>25</v>
      </c>
      <c r="F104" s="4" t="str">
        <f>VLOOKUP($E104,Instructors!$A$2:$C693,3,FALSE)</f>
        <v>Self</v>
      </c>
      <c r="G104" s="4" t="str">
        <f t="shared" si="14"/>
        <v>NA</v>
      </c>
      <c r="H104" s="4" t="str">
        <f t="shared" si="3"/>
        <v/>
      </c>
      <c r="J104" s="4" t="str">
        <f>if($E104="Capstone","Capstone",if($E104="Holiday",""))</f>
        <v>Capstone</v>
      </c>
      <c r="K104" s="2">
        <v>120.0</v>
      </c>
      <c r="M104" s="4" t="str">
        <f>if($E104="Holiday","Holiday",if($E104="Capstone","Capstone"))</f>
        <v>Capstone</v>
      </c>
      <c r="N104" s="4"/>
      <c r="O104" s="4"/>
      <c r="P104" s="4"/>
      <c r="Q104" s="4"/>
    </row>
    <row r="105">
      <c r="A105" s="2">
        <v>4.0</v>
      </c>
      <c r="B105" s="3">
        <f t="shared" si="42"/>
        <v>46052</v>
      </c>
      <c r="C105" s="2" t="s">
        <v>73</v>
      </c>
      <c r="D105" s="2" t="s">
        <v>31</v>
      </c>
      <c r="E105" s="2" t="s">
        <v>160</v>
      </c>
      <c r="F105" s="4" t="str">
        <f>VLOOKUP($E105,Instructors!$A$2:$C693,3,FALSE)</f>
        <v>&lt;5</v>
      </c>
      <c r="G105" s="4" t="str">
        <f t="shared" si="14"/>
        <v/>
      </c>
      <c r="H105" s="4" t="str">
        <f t="shared" si="3"/>
        <v/>
      </c>
      <c r="I105" s="2" t="s">
        <v>164</v>
      </c>
      <c r="J105" s="2" t="s">
        <v>30</v>
      </c>
      <c r="K105" s="2">
        <v>90.0</v>
      </c>
      <c r="M105" s="2" t="s">
        <v>27</v>
      </c>
      <c r="N105" s="4"/>
      <c r="O105" s="4"/>
      <c r="P105" s="4"/>
      <c r="Q105" s="4"/>
    </row>
    <row r="106">
      <c r="A106" s="2">
        <v>4.0</v>
      </c>
      <c r="B106" s="3">
        <f t="shared" ref="B106:B109" si="43">B98+2</f>
        <v>46053</v>
      </c>
      <c r="C106" s="2" t="s">
        <v>86</v>
      </c>
      <c r="D106" s="2" t="s">
        <v>18</v>
      </c>
      <c r="E106" s="2" t="s">
        <v>165</v>
      </c>
      <c r="F106" s="4" t="str">
        <f>VLOOKUP($E106,Instructors!$A$2:$C693,3,FALSE)</f>
        <v>&gt;30</v>
      </c>
      <c r="G106" s="4" t="str">
        <f t="shared" si="14"/>
        <v/>
      </c>
      <c r="H106" s="4" t="str">
        <f t="shared" si="3"/>
        <v/>
      </c>
      <c r="I106" s="2" t="s">
        <v>166</v>
      </c>
      <c r="J106" s="2" t="s">
        <v>21</v>
      </c>
      <c r="K106" s="2">
        <v>90.0</v>
      </c>
      <c r="M106" s="2" t="s">
        <v>22</v>
      </c>
      <c r="N106" s="2" t="s">
        <v>119</v>
      </c>
      <c r="O106" s="2" t="s">
        <v>118</v>
      </c>
      <c r="P106" s="2" t="s">
        <v>83</v>
      </c>
      <c r="Q106" s="2" t="s">
        <v>120</v>
      </c>
    </row>
    <row r="107">
      <c r="A107" s="2">
        <v>4.0</v>
      </c>
      <c r="B107" s="3">
        <f t="shared" si="43"/>
        <v>46053</v>
      </c>
      <c r="C107" s="2" t="s">
        <v>86</v>
      </c>
      <c r="D107" s="2" t="s">
        <v>24</v>
      </c>
      <c r="E107" s="2" t="s">
        <v>165</v>
      </c>
      <c r="F107" s="4" t="str">
        <f>VLOOKUP($E107,Instructors!$A$2:$C693,3,FALSE)</f>
        <v>&gt;30</v>
      </c>
      <c r="G107" s="4" t="str">
        <f t="shared" si="14"/>
        <v/>
      </c>
      <c r="H107" s="4" t="str">
        <f t="shared" si="3"/>
        <v/>
      </c>
      <c r="I107" s="2" t="s">
        <v>166</v>
      </c>
      <c r="J107" s="2" t="s">
        <v>21</v>
      </c>
      <c r="K107" s="2">
        <v>120.0</v>
      </c>
      <c r="M107" s="2" t="s">
        <v>22</v>
      </c>
      <c r="N107" s="2" t="s">
        <v>81</v>
      </c>
      <c r="O107" s="2" t="s">
        <v>48</v>
      </c>
      <c r="P107" s="2" t="s">
        <v>78</v>
      </c>
      <c r="Q107" s="2" t="s">
        <v>90</v>
      </c>
    </row>
    <row r="108">
      <c r="A108" s="2">
        <v>4.0</v>
      </c>
      <c r="B108" s="3">
        <f t="shared" si="43"/>
        <v>46053</v>
      </c>
      <c r="C108" s="2" t="s">
        <v>86</v>
      </c>
      <c r="D108" s="2" t="s">
        <v>29</v>
      </c>
      <c r="E108" s="2" t="s">
        <v>25</v>
      </c>
      <c r="F108" s="4" t="str">
        <f>VLOOKUP($E108,Instructors!$A$2:$C693,3,FALSE)</f>
        <v>Self</v>
      </c>
      <c r="G108" s="4" t="str">
        <f t="shared" si="14"/>
        <v>NA</v>
      </c>
      <c r="H108" s="4" t="str">
        <f t="shared" si="3"/>
        <v/>
      </c>
      <c r="I108" s="2" t="s">
        <v>167</v>
      </c>
      <c r="J108" s="4" t="str">
        <f t="shared" ref="J108:J113" si="44">if($E108="Capstone","Capstone",if($E108="Holiday",""))</f>
        <v>Capstone</v>
      </c>
      <c r="K108" s="2">
        <v>90.0</v>
      </c>
      <c r="M108" s="2" t="s">
        <v>27</v>
      </c>
      <c r="N108" s="2" t="s">
        <v>168</v>
      </c>
      <c r="O108" s="4"/>
      <c r="P108" s="4"/>
      <c r="Q108" s="4"/>
    </row>
    <row r="109">
      <c r="A109" s="2">
        <v>4.0</v>
      </c>
      <c r="B109" s="3">
        <f t="shared" si="43"/>
        <v>46053</v>
      </c>
      <c r="C109" s="2" t="s">
        <v>86</v>
      </c>
      <c r="D109" s="2" t="s">
        <v>31</v>
      </c>
      <c r="E109" s="2" t="s">
        <v>25</v>
      </c>
      <c r="F109" s="4" t="str">
        <f>VLOOKUP($E109,Instructors!$A$2:$C693,3,FALSE)</f>
        <v>Self</v>
      </c>
      <c r="G109" s="4" t="str">
        <f t="shared" si="14"/>
        <v>NA</v>
      </c>
      <c r="H109" s="4" t="str">
        <f t="shared" si="3"/>
        <v/>
      </c>
      <c r="I109" s="2" t="s">
        <v>167</v>
      </c>
      <c r="J109" s="4" t="str">
        <f t="shared" si="44"/>
        <v>Capstone</v>
      </c>
      <c r="K109" s="2">
        <v>90.0</v>
      </c>
      <c r="M109" s="2" t="s">
        <v>27</v>
      </c>
      <c r="N109" s="2" t="s">
        <v>168</v>
      </c>
      <c r="O109" s="4"/>
      <c r="P109" s="4"/>
      <c r="Q109" s="4"/>
    </row>
    <row r="110">
      <c r="A110" s="2">
        <v>4.0</v>
      </c>
      <c r="B110" s="3">
        <f t="shared" ref="B110:B113" si="45">B106+1</f>
        <v>46054</v>
      </c>
      <c r="C110" s="2" t="s">
        <v>93</v>
      </c>
      <c r="D110" s="2" t="s">
        <v>18</v>
      </c>
      <c r="E110" s="2" t="s">
        <v>92</v>
      </c>
      <c r="F110" s="4" t="str">
        <f>VLOOKUP($E110,Instructors!$A$2:$C693,3,FALSE)</f>
        <v/>
      </c>
      <c r="G110" s="4" t="str">
        <f t="shared" si="14"/>
        <v>NA</v>
      </c>
      <c r="H110" s="4" t="str">
        <f t="shared" si="3"/>
        <v>NA</v>
      </c>
      <c r="J110" s="4" t="str">
        <f t="shared" si="44"/>
        <v/>
      </c>
      <c r="K110" s="2" t="str">
        <f t="shared" ref="K110:K113" si="46">if($E110="Holiday","NA")</f>
        <v>NA</v>
      </c>
      <c r="M110" s="4" t="str">
        <f t="shared" ref="M110:M113" si="47">if($E110="Holiday","Holiday",if($E110="Capstone","Capstone"))</f>
        <v>Holiday</v>
      </c>
      <c r="N110" s="4"/>
      <c r="O110" s="4"/>
      <c r="P110" s="4"/>
      <c r="Q110" s="4"/>
    </row>
    <row r="111">
      <c r="A111" s="2">
        <v>4.0</v>
      </c>
      <c r="B111" s="3">
        <f t="shared" si="45"/>
        <v>46054</v>
      </c>
      <c r="C111" s="2" t="s">
        <v>93</v>
      </c>
      <c r="D111" s="2" t="s">
        <v>24</v>
      </c>
      <c r="E111" s="2" t="s">
        <v>92</v>
      </c>
      <c r="F111" s="4" t="str">
        <f>VLOOKUP($E111,Instructors!$A$2:$C693,3,FALSE)</f>
        <v/>
      </c>
      <c r="G111" s="4" t="str">
        <f t="shared" si="14"/>
        <v>NA</v>
      </c>
      <c r="H111" s="4" t="str">
        <f t="shared" si="3"/>
        <v>NA</v>
      </c>
      <c r="J111" s="4" t="str">
        <f t="shared" si="44"/>
        <v/>
      </c>
      <c r="K111" s="2" t="str">
        <f t="shared" si="46"/>
        <v>NA</v>
      </c>
      <c r="M111" s="4" t="str">
        <f t="shared" si="47"/>
        <v>Holiday</v>
      </c>
      <c r="N111" s="4"/>
      <c r="O111" s="4"/>
      <c r="P111" s="4"/>
      <c r="Q111" s="4"/>
    </row>
    <row r="112">
      <c r="A112" s="2">
        <v>4.0</v>
      </c>
      <c r="B112" s="3">
        <f t="shared" si="45"/>
        <v>46054</v>
      </c>
      <c r="C112" s="2" t="s">
        <v>93</v>
      </c>
      <c r="D112" s="2" t="s">
        <v>29</v>
      </c>
      <c r="E112" s="2" t="s">
        <v>92</v>
      </c>
      <c r="F112" s="4" t="str">
        <f>VLOOKUP($E112,Instructors!$A$2:$C693,3,FALSE)</f>
        <v/>
      </c>
      <c r="G112" s="4" t="str">
        <f t="shared" si="14"/>
        <v>NA</v>
      </c>
      <c r="H112" s="4" t="str">
        <f t="shared" si="3"/>
        <v>NA</v>
      </c>
      <c r="J112" s="4" t="str">
        <f t="shared" si="44"/>
        <v/>
      </c>
      <c r="K112" s="2" t="str">
        <f t="shared" si="46"/>
        <v>NA</v>
      </c>
      <c r="M112" s="4" t="str">
        <f t="shared" si="47"/>
        <v>Holiday</v>
      </c>
      <c r="N112" s="4"/>
      <c r="O112" s="4"/>
      <c r="P112" s="4"/>
      <c r="Q112" s="4"/>
    </row>
    <row r="113">
      <c r="A113" s="2">
        <v>4.0</v>
      </c>
      <c r="B113" s="3">
        <f t="shared" si="45"/>
        <v>46054</v>
      </c>
      <c r="C113" s="2" t="s">
        <v>93</v>
      </c>
      <c r="D113" s="2" t="s">
        <v>31</v>
      </c>
      <c r="E113" s="2" t="s">
        <v>92</v>
      </c>
      <c r="F113" s="4" t="str">
        <f>VLOOKUP($E113,Instructors!$A$2:$C693,3,FALSE)</f>
        <v/>
      </c>
      <c r="G113" s="4" t="str">
        <f t="shared" si="14"/>
        <v>NA</v>
      </c>
      <c r="H113" s="4" t="str">
        <f t="shared" si="3"/>
        <v>NA</v>
      </c>
      <c r="J113" s="4" t="str">
        <f t="shared" si="44"/>
        <v/>
      </c>
      <c r="K113" s="2" t="str">
        <f t="shared" si="46"/>
        <v>NA</v>
      </c>
      <c r="M113" s="4" t="str">
        <f t="shared" si="47"/>
        <v>Holiday</v>
      </c>
      <c r="N113" s="4"/>
      <c r="O113" s="4"/>
      <c r="P113" s="4"/>
      <c r="Q113" s="4"/>
    </row>
    <row r="114">
      <c r="A114" s="2">
        <v>5.0</v>
      </c>
      <c r="B114" s="3">
        <f t="shared" ref="B114:B117" si="48">B106+2</f>
        <v>46055</v>
      </c>
      <c r="C114" s="2" t="s">
        <v>17</v>
      </c>
      <c r="D114" s="2" t="s">
        <v>18</v>
      </c>
      <c r="E114" s="2" t="s">
        <v>19</v>
      </c>
      <c r="F114" s="4" t="str">
        <f>VLOOKUP($E114,Instructors!$A$2:$C693,3,FALSE)</f>
        <v>&gt;20</v>
      </c>
      <c r="G114" s="4" t="str">
        <f t="shared" si="14"/>
        <v/>
      </c>
      <c r="H114" s="4" t="str">
        <f t="shared" si="3"/>
        <v/>
      </c>
      <c r="I114" s="2" t="s">
        <v>169</v>
      </c>
      <c r="J114" s="2" t="s">
        <v>89</v>
      </c>
      <c r="K114" s="2">
        <v>90.0</v>
      </c>
      <c r="M114" s="2" t="s">
        <v>27</v>
      </c>
      <c r="N114" s="2" t="s">
        <v>90</v>
      </c>
      <c r="O114" s="4"/>
      <c r="P114" s="4"/>
      <c r="Q114" s="4"/>
    </row>
    <row r="115">
      <c r="A115" s="2">
        <v>5.0</v>
      </c>
      <c r="B115" s="3">
        <f t="shared" si="48"/>
        <v>46055</v>
      </c>
      <c r="C115" s="2" t="s">
        <v>17</v>
      </c>
      <c r="D115" s="2" t="s">
        <v>24</v>
      </c>
      <c r="E115" s="2" t="s">
        <v>127</v>
      </c>
      <c r="F115" s="4" t="str">
        <f>VLOOKUP($E115,Instructors!$A$2:$C693,3,FALSE)</f>
        <v>&lt;5</v>
      </c>
      <c r="G115" s="4" t="str">
        <f t="shared" si="14"/>
        <v/>
      </c>
      <c r="H115" s="4" t="str">
        <f t="shared" si="3"/>
        <v/>
      </c>
      <c r="I115" s="2" t="s">
        <v>170</v>
      </c>
      <c r="J115" s="2" t="s">
        <v>141</v>
      </c>
      <c r="K115" s="2">
        <v>90.0</v>
      </c>
      <c r="M115" s="2" t="s">
        <v>22</v>
      </c>
      <c r="N115" s="2" t="s">
        <v>44</v>
      </c>
      <c r="O115" s="2" t="s">
        <v>37</v>
      </c>
      <c r="P115" s="2" t="s">
        <v>55</v>
      </c>
      <c r="Q115" s="2" t="s">
        <v>171</v>
      </c>
    </row>
    <row r="116">
      <c r="A116" s="2">
        <v>5.0</v>
      </c>
      <c r="B116" s="3">
        <f t="shared" si="48"/>
        <v>46055</v>
      </c>
      <c r="C116" s="2" t="s">
        <v>17</v>
      </c>
      <c r="D116" s="2" t="s">
        <v>29</v>
      </c>
      <c r="E116" s="2" t="s">
        <v>25</v>
      </c>
      <c r="F116" s="4" t="str">
        <f>VLOOKUP($E116,Instructors!$A$2:$C693,3,FALSE)</f>
        <v>Self</v>
      </c>
      <c r="G116" s="4" t="str">
        <f t="shared" si="14"/>
        <v>NA</v>
      </c>
      <c r="H116" s="4" t="str">
        <f t="shared" si="3"/>
        <v/>
      </c>
      <c r="J116" s="4" t="str">
        <f>if($E116="Capstone","Capstone",if($E116="Holiday",""))</f>
        <v>Capstone</v>
      </c>
      <c r="K116" s="2">
        <v>90.0</v>
      </c>
      <c r="M116" s="4" t="str">
        <f>if($E116="Holiday","Holiday",if($E116="Capstone","Capstone"))</f>
        <v>Capstone</v>
      </c>
      <c r="N116" s="4"/>
      <c r="O116" s="4"/>
      <c r="P116" s="4"/>
      <c r="Q116" s="4"/>
    </row>
    <row r="117">
      <c r="A117" s="2">
        <v>5.0</v>
      </c>
      <c r="B117" s="3">
        <f t="shared" si="48"/>
        <v>46055</v>
      </c>
      <c r="C117" s="2" t="s">
        <v>17</v>
      </c>
      <c r="D117" s="2" t="s">
        <v>31</v>
      </c>
      <c r="E117" s="2" t="s">
        <v>127</v>
      </c>
      <c r="F117" s="4" t="str">
        <f>VLOOKUP($E117,Instructors!$A$2:$C693,3,FALSE)</f>
        <v>&lt;5</v>
      </c>
      <c r="G117" s="4" t="str">
        <f t="shared" si="14"/>
        <v/>
      </c>
      <c r="H117" s="4" t="str">
        <f t="shared" si="3"/>
        <v/>
      </c>
      <c r="I117" s="2" t="s">
        <v>172</v>
      </c>
      <c r="J117" s="2" t="s">
        <v>141</v>
      </c>
      <c r="K117" s="2">
        <v>120.0</v>
      </c>
      <c r="M117" s="2" t="s">
        <v>153</v>
      </c>
      <c r="N117" s="2" t="s">
        <v>37</v>
      </c>
      <c r="O117" s="2" t="s">
        <v>38</v>
      </c>
      <c r="P117" s="2" t="s">
        <v>114</v>
      </c>
      <c r="Q117" s="2" t="s">
        <v>171</v>
      </c>
    </row>
    <row r="118">
      <c r="A118" s="2">
        <v>5.0</v>
      </c>
      <c r="B118" s="3">
        <f t="shared" ref="B118:B121" si="49">B114+1</f>
        <v>46056</v>
      </c>
      <c r="C118" s="2" t="s">
        <v>33</v>
      </c>
      <c r="D118" s="2" t="s">
        <v>18</v>
      </c>
      <c r="E118" s="2" t="s">
        <v>46</v>
      </c>
      <c r="F118" s="4" t="str">
        <f>VLOOKUP($E118,Instructors!$A$2:$C693,3,FALSE)</f>
        <v>&gt;10</v>
      </c>
      <c r="G118" s="4" t="str">
        <f t="shared" si="14"/>
        <v/>
      </c>
      <c r="H118" s="4" t="str">
        <f t="shared" si="3"/>
        <v/>
      </c>
      <c r="I118" s="2" t="s">
        <v>163</v>
      </c>
      <c r="J118" s="2" t="s">
        <v>21</v>
      </c>
      <c r="K118" s="2">
        <v>90.0</v>
      </c>
      <c r="M118" s="2" t="s">
        <v>129</v>
      </c>
      <c r="N118" s="2" t="s">
        <v>28</v>
      </c>
      <c r="O118" s="4"/>
      <c r="P118" s="4"/>
      <c r="Q118" s="4"/>
    </row>
    <row r="119">
      <c r="A119" s="2">
        <v>5.0</v>
      </c>
      <c r="B119" s="3">
        <f t="shared" si="49"/>
        <v>46056</v>
      </c>
      <c r="C119" s="2" t="s">
        <v>33</v>
      </c>
      <c r="D119" s="2" t="s">
        <v>24</v>
      </c>
      <c r="E119" s="2" t="s">
        <v>127</v>
      </c>
      <c r="F119" s="4" t="str">
        <f>VLOOKUP($E119,Instructors!$A$2:$C693,3,FALSE)</f>
        <v>&lt;5</v>
      </c>
      <c r="G119" s="4" t="str">
        <f t="shared" si="14"/>
        <v/>
      </c>
      <c r="H119" s="4" t="str">
        <f t="shared" si="3"/>
        <v/>
      </c>
      <c r="I119" s="2" t="s">
        <v>173</v>
      </c>
      <c r="J119" s="2" t="s">
        <v>141</v>
      </c>
      <c r="K119" s="2">
        <v>120.0</v>
      </c>
      <c r="M119" s="2" t="s">
        <v>153</v>
      </c>
      <c r="N119" s="2" t="s">
        <v>174</v>
      </c>
      <c r="O119" s="2" t="s">
        <v>63</v>
      </c>
      <c r="P119" s="2" t="s">
        <v>175</v>
      </c>
      <c r="Q119" s="2"/>
    </row>
    <row r="120">
      <c r="A120" s="2">
        <v>5.0</v>
      </c>
      <c r="B120" s="3">
        <f t="shared" si="49"/>
        <v>46056</v>
      </c>
      <c r="C120" s="2" t="s">
        <v>33</v>
      </c>
      <c r="D120" s="2" t="s">
        <v>29</v>
      </c>
      <c r="E120" s="2" t="s">
        <v>25</v>
      </c>
      <c r="F120" s="4" t="str">
        <f>VLOOKUP($E120,Instructors!$A$2:$C693,3,FALSE)</f>
        <v>Self</v>
      </c>
      <c r="G120" s="4" t="str">
        <f t="shared" si="14"/>
        <v>NA</v>
      </c>
      <c r="H120" s="4" t="str">
        <f t="shared" si="3"/>
        <v/>
      </c>
      <c r="J120" s="4" t="str">
        <f>if($E120="Capstone","Capstone",if($E120="Holiday",""))</f>
        <v>Capstone</v>
      </c>
      <c r="K120" s="2">
        <v>90.0</v>
      </c>
      <c r="M120" s="4" t="str">
        <f>if($E120="Holiday","Holiday",if($E120="Capstone","Capstone"))</f>
        <v>Capstone</v>
      </c>
      <c r="N120" s="4"/>
      <c r="O120" s="4"/>
      <c r="P120" s="4"/>
      <c r="Q120" s="4"/>
    </row>
    <row r="121">
      <c r="A121" s="2">
        <v>5.0</v>
      </c>
      <c r="B121" s="3">
        <f t="shared" si="49"/>
        <v>46056</v>
      </c>
      <c r="C121" s="2" t="s">
        <v>33</v>
      </c>
      <c r="D121" s="2" t="s">
        <v>31</v>
      </c>
      <c r="E121" s="2" t="s">
        <v>127</v>
      </c>
      <c r="F121" s="4" t="str">
        <f>VLOOKUP($E121,Instructors!$A$2:$C693,3,FALSE)</f>
        <v>&lt;5</v>
      </c>
      <c r="G121" s="4" t="str">
        <f t="shared" si="14"/>
        <v/>
      </c>
      <c r="H121" s="4" t="str">
        <f t="shared" si="3"/>
        <v/>
      </c>
      <c r="I121" s="2" t="s">
        <v>176</v>
      </c>
      <c r="J121" s="2" t="s">
        <v>141</v>
      </c>
      <c r="K121" s="2">
        <v>90.0</v>
      </c>
      <c r="M121" s="2" t="s">
        <v>22</v>
      </c>
      <c r="N121" s="2" t="s">
        <v>55</v>
      </c>
      <c r="O121" s="2" t="s">
        <v>41</v>
      </c>
      <c r="P121" s="2" t="s">
        <v>158</v>
      </c>
      <c r="Q121" s="2"/>
    </row>
    <row r="122">
      <c r="A122" s="2">
        <v>5.0</v>
      </c>
      <c r="B122" s="3">
        <f t="shared" ref="B122:B125" si="50">B114+2</f>
        <v>46057</v>
      </c>
      <c r="C122" s="2" t="s">
        <v>45</v>
      </c>
      <c r="D122" s="2" t="s">
        <v>18</v>
      </c>
      <c r="E122" s="2" t="s">
        <v>160</v>
      </c>
      <c r="F122" s="4" t="str">
        <f>VLOOKUP($E122,Instructors!$A$2:$C693,3,FALSE)</f>
        <v>&lt;5</v>
      </c>
      <c r="G122" s="4" t="str">
        <f t="shared" si="14"/>
        <v/>
      </c>
      <c r="H122" s="4" t="str">
        <f t="shared" si="3"/>
        <v/>
      </c>
      <c r="I122" s="2" t="s">
        <v>177</v>
      </c>
      <c r="J122" s="2" t="s">
        <v>30</v>
      </c>
      <c r="K122" s="2">
        <v>90.0</v>
      </c>
      <c r="M122" s="2" t="s">
        <v>27</v>
      </c>
      <c r="N122" s="2" t="s">
        <v>168</v>
      </c>
      <c r="O122" s="4"/>
      <c r="P122" s="4"/>
      <c r="Q122" s="4"/>
    </row>
    <row r="123">
      <c r="A123" s="2">
        <v>5.0</v>
      </c>
      <c r="B123" s="3">
        <f t="shared" si="50"/>
        <v>46057</v>
      </c>
      <c r="C123" s="2" t="s">
        <v>45</v>
      </c>
      <c r="D123" s="2" t="s">
        <v>24</v>
      </c>
      <c r="E123" s="2" t="s">
        <v>25</v>
      </c>
      <c r="F123" s="4" t="str">
        <f>VLOOKUP($E123,Instructors!$A$2:$C693,3,FALSE)</f>
        <v>Self</v>
      </c>
      <c r="G123" s="4" t="str">
        <f t="shared" si="14"/>
        <v>NA</v>
      </c>
      <c r="H123" s="4" t="str">
        <f t="shared" si="3"/>
        <v/>
      </c>
      <c r="J123" s="4" t="str">
        <f>if($E123="Capstone","Capstone",if($E123="Holiday",""))</f>
        <v>Capstone</v>
      </c>
      <c r="K123" s="2">
        <v>90.0</v>
      </c>
      <c r="M123" s="4" t="str">
        <f>if($E123="Holiday","Holiday",if($E123="Capstone","Capstone"))</f>
        <v>Capstone</v>
      </c>
      <c r="N123" s="4"/>
      <c r="O123" s="4"/>
      <c r="P123" s="4"/>
      <c r="Q123" s="4"/>
    </row>
    <row r="124">
      <c r="A124" s="2">
        <v>5.0</v>
      </c>
      <c r="B124" s="3">
        <f t="shared" si="50"/>
        <v>46057</v>
      </c>
      <c r="C124" s="2" t="s">
        <v>45</v>
      </c>
      <c r="D124" s="2" t="s">
        <v>29</v>
      </c>
      <c r="E124" s="2" t="s">
        <v>156</v>
      </c>
      <c r="F124" s="4" t="str">
        <f>VLOOKUP($E124,Instructors!$A$2:$C693,3,FALSE)</f>
        <v>&gt;20</v>
      </c>
      <c r="G124" s="4" t="str">
        <f t="shared" si="14"/>
        <v/>
      </c>
      <c r="H124" s="4" t="str">
        <f t="shared" si="3"/>
        <v/>
      </c>
      <c r="I124" s="2" t="s">
        <v>178</v>
      </c>
      <c r="J124" s="2" t="s">
        <v>141</v>
      </c>
      <c r="K124" s="2">
        <v>90.0</v>
      </c>
      <c r="M124" s="2" t="s">
        <v>22</v>
      </c>
      <c r="N124" s="2" t="s">
        <v>44</v>
      </c>
      <c r="O124" s="2" t="s">
        <v>41</v>
      </c>
      <c r="P124" s="4"/>
      <c r="Q124" s="4"/>
    </row>
    <row r="125">
      <c r="A125" s="2">
        <v>5.0</v>
      </c>
      <c r="B125" s="3">
        <f t="shared" si="50"/>
        <v>46057</v>
      </c>
      <c r="C125" s="2" t="s">
        <v>45</v>
      </c>
      <c r="D125" s="2" t="s">
        <v>31</v>
      </c>
      <c r="E125" s="2" t="s">
        <v>156</v>
      </c>
      <c r="F125" s="4" t="str">
        <f>VLOOKUP($E125,Instructors!$A$2:$C693,3,FALSE)</f>
        <v>&gt;20</v>
      </c>
      <c r="G125" s="4" t="str">
        <f t="shared" si="14"/>
        <v/>
      </c>
      <c r="H125" s="4" t="str">
        <f t="shared" si="3"/>
        <v/>
      </c>
      <c r="I125" s="2" t="s">
        <v>178</v>
      </c>
      <c r="J125" s="2" t="s">
        <v>141</v>
      </c>
      <c r="K125" s="2">
        <v>120.0</v>
      </c>
      <c r="M125" s="2" t="s">
        <v>22</v>
      </c>
      <c r="N125" s="2" t="s">
        <v>44</v>
      </c>
      <c r="O125" s="2" t="s">
        <v>38</v>
      </c>
      <c r="P125" s="2" t="s">
        <v>179</v>
      </c>
      <c r="Q125" s="4"/>
    </row>
    <row r="126">
      <c r="A126" s="2">
        <v>5.0</v>
      </c>
      <c r="B126" s="3">
        <f t="shared" ref="B126:B129" si="51">B122+1</f>
        <v>46058</v>
      </c>
      <c r="C126" s="2" t="s">
        <v>57</v>
      </c>
      <c r="D126" s="2" t="s">
        <v>18</v>
      </c>
      <c r="E126" s="2" t="s">
        <v>19</v>
      </c>
      <c r="F126" s="4" t="str">
        <f>VLOOKUP($E126,Instructors!$A$2:$C693,3,FALSE)</f>
        <v>&gt;20</v>
      </c>
      <c r="G126" s="4" t="str">
        <f t="shared" si="14"/>
        <v/>
      </c>
      <c r="H126" s="4" t="str">
        <f t="shared" si="3"/>
        <v/>
      </c>
      <c r="I126" s="2" t="s">
        <v>180</v>
      </c>
      <c r="J126" s="2" t="s">
        <v>30</v>
      </c>
      <c r="K126" s="2">
        <v>90.0</v>
      </c>
      <c r="M126" s="2" t="s">
        <v>22</v>
      </c>
      <c r="N126" s="2" t="s">
        <v>120</v>
      </c>
      <c r="O126" s="2" t="s">
        <v>49</v>
      </c>
      <c r="P126" s="4"/>
      <c r="Q126" s="4"/>
    </row>
    <row r="127">
      <c r="A127" s="2">
        <v>5.0</v>
      </c>
      <c r="B127" s="3">
        <f t="shared" si="51"/>
        <v>46058</v>
      </c>
      <c r="C127" s="2" t="s">
        <v>57</v>
      </c>
      <c r="D127" s="2" t="s">
        <v>24</v>
      </c>
      <c r="E127" s="2" t="s">
        <v>25</v>
      </c>
      <c r="F127" s="4" t="str">
        <f>VLOOKUP($E127,Instructors!$A$2:$C693,3,FALSE)</f>
        <v>Self</v>
      </c>
      <c r="G127" s="4" t="str">
        <f t="shared" si="14"/>
        <v>NA</v>
      </c>
      <c r="H127" s="4" t="str">
        <f t="shared" si="3"/>
        <v/>
      </c>
      <c r="I127" s="2" t="s">
        <v>181</v>
      </c>
      <c r="J127" s="2" t="s">
        <v>141</v>
      </c>
      <c r="K127" s="2">
        <v>120.0</v>
      </c>
      <c r="M127" s="2" t="s">
        <v>129</v>
      </c>
      <c r="N127" s="2" t="s">
        <v>182</v>
      </c>
      <c r="O127" s="4"/>
      <c r="P127" s="4"/>
      <c r="Q127" s="4"/>
    </row>
    <row r="128">
      <c r="A128" s="2">
        <v>5.0</v>
      </c>
      <c r="B128" s="3">
        <f t="shared" si="51"/>
        <v>46058</v>
      </c>
      <c r="C128" s="2" t="s">
        <v>57</v>
      </c>
      <c r="D128" s="2" t="s">
        <v>29</v>
      </c>
      <c r="E128" s="2" t="s">
        <v>25</v>
      </c>
      <c r="F128" s="4" t="str">
        <f>VLOOKUP($E128,Instructors!$A$2:$C693,3,FALSE)</f>
        <v>Self</v>
      </c>
      <c r="G128" s="4" t="str">
        <f t="shared" si="14"/>
        <v>NA</v>
      </c>
      <c r="H128" s="4" t="str">
        <f t="shared" si="3"/>
        <v/>
      </c>
      <c r="I128" s="2" t="s">
        <v>181</v>
      </c>
      <c r="J128" s="2" t="s">
        <v>141</v>
      </c>
      <c r="K128" s="2">
        <v>120.0</v>
      </c>
      <c r="M128" s="2" t="s">
        <v>129</v>
      </c>
      <c r="N128" s="2" t="s">
        <v>183</v>
      </c>
      <c r="O128" s="4"/>
      <c r="P128" s="4"/>
      <c r="Q128" s="4"/>
    </row>
    <row r="129">
      <c r="A129" s="2">
        <v>5.0</v>
      </c>
      <c r="B129" s="3">
        <f t="shared" si="51"/>
        <v>46058</v>
      </c>
      <c r="C129" s="2" t="s">
        <v>57</v>
      </c>
      <c r="D129" s="2" t="s">
        <v>31</v>
      </c>
      <c r="E129" s="2" t="s">
        <v>25</v>
      </c>
      <c r="F129" s="4" t="str">
        <f>VLOOKUP($E129,Instructors!$A$2:$C693,3,FALSE)</f>
        <v>Self</v>
      </c>
      <c r="G129" s="4" t="str">
        <f t="shared" si="14"/>
        <v>NA</v>
      </c>
      <c r="H129" s="4" t="str">
        <f t="shared" si="3"/>
        <v/>
      </c>
      <c r="I129" s="2" t="s">
        <v>181</v>
      </c>
      <c r="J129" s="2" t="s">
        <v>141</v>
      </c>
      <c r="K129" s="2">
        <v>120.0</v>
      </c>
      <c r="M129" s="2" t="s">
        <v>129</v>
      </c>
      <c r="N129" s="2" t="s">
        <v>182</v>
      </c>
      <c r="O129" s="4"/>
      <c r="P129" s="4"/>
      <c r="Q129" s="4"/>
    </row>
    <row r="130">
      <c r="A130" s="2">
        <v>5.0</v>
      </c>
      <c r="B130" s="3">
        <f t="shared" ref="B130:B133" si="52">B122+2</f>
        <v>46059</v>
      </c>
      <c r="C130" s="2" t="s">
        <v>73</v>
      </c>
      <c r="D130" s="2" t="s">
        <v>18</v>
      </c>
      <c r="E130" s="2" t="s">
        <v>46</v>
      </c>
      <c r="F130" s="4" t="str">
        <f>VLOOKUP($E130,Instructors!$A$2:$C693,3,FALSE)</f>
        <v>&gt;10</v>
      </c>
      <c r="G130" s="4" t="str">
        <f t="shared" si="14"/>
        <v/>
      </c>
      <c r="H130" s="4" t="str">
        <f t="shared" si="3"/>
        <v/>
      </c>
      <c r="I130" s="2" t="s">
        <v>163</v>
      </c>
      <c r="J130" s="2" t="s">
        <v>21</v>
      </c>
      <c r="K130" s="2">
        <v>90.0</v>
      </c>
      <c r="M130" s="2" t="s">
        <v>129</v>
      </c>
      <c r="N130" s="2" t="s">
        <v>28</v>
      </c>
      <c r="O130" s="4"/>
      <c r="P130" s="4"/>
      <c r="Q130" s="4"/>
    </row>
    <row r="131">
      <c r="A131" s="2">
        <v>5.0</v>
      </c>
      <c r="B131" s="3">
        <f t="shared" si="52"/>
        <v>46059</v>
      </c>
      <c r="C131" s="2" t="s">
        <v>73</v>
      </c>
      <c r="D131" s="2" t="s">
        <v>24</v>
      </c>
      <c r="E131" s="2" t="s">
        <v>184</v>
      </c>
      <c r="F131" s="4" t="str">
        <f>VLOOKUP($E131,Instructors!$A$2:$C693,3,FALSE)</f>
        <v>&gt;40</v>
      </c>
      <c r="G131" s="4" t="str">
        <f t="shared" si="14"/>
        <v/>
      </c>
      <c r="H131" s="4" t="str">
        <f t="shared" si="3"/>
        <v/>
      </c>
      <c r="I131" s="2" t="s">
        <v>185</v>
      </c>
      <c r="J131" s="2" t="s">
        <v>141</v>
      </c>
      <c r="K131" s="2">
        <v>120.0</v>
      </c>
      <c r="M131" s="2" t="s">
        <v>22</v>
      </c>
      <c r="N131" s="4"/>
      <c r="O131" s="4"/>
      <c r="P131" s="4"/>
      <c r="Q131" s="4"/>
    </row>
    <row r="132">
      <c r="A132" s="2">
        <v>5.0</v>
      </c>
      <c r="B132" s="3">
        <f t="shared" si="52"/>
        <v>46059</v>
      </c>
      <c r="C132" s="2" t="s">
        <v>73</v>
      </c>
      <c r="D132" s="2" t="s">
        <v>29</v>
      </c>
      <c r="E132" s="2" t="s">
        <v>25</v>
      </c>
      <c r="F132" s="4" t="str">
        <f>VLOOKUP($E132,Instructors!$A$2:$C693,3,FALSE)</f>
        <v>Self</v>
      </c>
      <c r="G132" s="4" t="str">
        <f t="shared" si="14"/>
        <v>NA</v>
      </c>
      <c r="H132" s="4" t="str">
        <f t="shared" si="3"/>
        <v/>
      </c>
      <c r="J132" s="4" t="str">
        <f>if($E132="Capstone","Capstone",if($E132="Holiday",""))</f>
        <v>Capstone</v>
      </c>
      <c r="K132" s="2">
        <v>120.0</v>
      </c>
      <c r="M132" s="4" t="str">
        <f>if($E132="Holiday","Holiday",if($E132="Capstone","Capstone"))</f>
        <v>Capstone</v>
      </c>
      <c r="N132" s="4"/>
      <c r="O132" s="4"/>
      <c r="P132" s="4"/>
      <c r="Q132" s="4"/>
    </row>
    <row r="133">
      <c r="A133" s="2">
        <v>5.0</v>
      </c>
      <c r="B133" s="3">
        <f t="shared" si="52"/>
        <v>46059</v>
      </c>
      <c r="C133" s="2" t="s">
        <v>73</v>
      </c>
      <c r="D133" s="2" t="s">
        <v>31</v>
      </c>
      <c r="E133" s="2" t="s">
        <v>184</v>
      </c>
      <c r="F133" s="4" t="str">
        <f>VLOOKUP($E133,Instructors!$A$2:$C693,3,FALSE)</f>
        <v>&gt;40</v>
      </c>
      <c r="G133" s="4" t="str">
        <f t="shared" si="14"/>
        <v/>
      </c>
      <c r="H133" s="4" t="str">
        <f t="shared" si="3"/>
        <v/>
      </c>
      <c r="I133" s="2" t="s">
        <v>186</v>
      </c>
      <c r="J133" s="2" t="s">
        <v>141</v>
      </c>
      <c r="K133" s="2">
        <v>90.0</v>
      </c>
      <c r="M133" s="2" t="s">
        <v>22</v>
      </c>
      <c r="N133" s="4"/>
      <c r="O133" s="4"/>
      <c r="P133" s="4"/>
      <c r="Q133" s="4"/>
    </row>
    <row r="134">
      <c r="A134" s="2">
        <v>5.0</v>
      </c>
      <c r="B134" s="3">
        <f t="shared" ref="B134:B137" si="53">B130+1</f>
        <v>46060</v>
      </c>
      <c r="C134" s="2" t="s">
        <v>86</v>
      </c>
      <c r="D134" s="2" t="s">
        <v>18</v>
      </c>
      <c r="E134" s="2" t="s">
        <v>92</v>
      </c>
      <c r="F134" s="4" t="str">
        <f>VLOOKUP($E134,Instructors!$A$2:$C693,3,FALSE)</f>
        <v/>
      </c>
      <c r="G134" s="4" t="str">
        <f t="shared" si="14"/>
        <v>NA</v>
      </c>
      <c r="H134" s="4" t="str">
        <f t="shared" si="3"/>
        <v>NA</v>
      </c>
      <c r="J134" s="4" t="str">
        <f t="shared" ref="J134:J141" si="54">if($E134="Capstone","Capstone",if($E134="Holiday",""))</f>
        <v/>
      </c>
      <c r="K134" s="2" t="str">
        <f t="shared" ref="K134:K141" si="55">if($E134="Holiday","NA")</f>
        <v>NA</v>
      </c>
      <c r="M134" s="4" t="str">
        <f t="shared" ref="M134:M141" si="56">if($E134="Holiday","Holiday",if($E134="Capstone","Capstone"))</f>
        <v>Holiday</v>
      </c>
      <c r="N134" s="4"/>
      <c r="O134" s="4"/>
      <c r="P134" s="4"/>
      <c r="Q134" s="4"/>
    </row>
    <row r="135">
      <c r="A135" s="2">
        <v>5.0</v>
      </c>
      <c r="B135" s="3">
        <f t="shared" si="53"/>
        <v>46060</v>
      </c>
      <c r="C135" s="2" t="s">
        <v>86</v>
      </c>
      <c r="D135" s="2" t="s">
        <v>24</v>
      </c>
      <c r="E135" s="2" t="s">
        <v>92</v>
      </c>
      <c r="F135" s="4" t="str">
        <f>VLOOKUP($E135,Instructors!$A$2:$C693,3,FALSE)</f>
        <v/>
      </c>
      <c r="G135" s="4" t="str">
        <f t="shared" si="14"/>
        <v>NA</v>
      </c>
      <c r="H135" s="4" t="str">
        <f t="shared" si="3"/>
        <v>NA</v>
      </c>
      <c r="J135" s="4" t="str">
        <f t="shared" si="54"/>
        <v/>
      </c>
      <c r="K135" s="2" t="str">
        <f t="shared" si="55"/>
        <v>NA</v>
      </c>
      <c r="M135" s="4" t="str">
        <f t="shared" si="56"/>
        <v>Holiday</v>
      </c>
      <c r="N135" s="4"/>
      <c r="O135" s="4"/>
      <c r="P135" s="4"/>
      <c r="Q135" s="4"/>
    </row>
    <row r="136">
      <c r="A136" s="2">
        <v>5.0</v>
      </c>
      <c r="B136" s="3">
        <f t="shared" si="53"/>
        <v>46060</v>
      </c>
      <c r="C136" s="2" t="s">
        <v>86</v>
      </c>
      <c r="D136" s="2" t="s">
        <v>29</v>
      </c>
      <c r="E136" s="2" t="s">
        <v>92</v>
      </c>
      <c r="F136" s="4" t="str">
        <f>VLOOKUP($E136,Instructors!$A$2:$C693,3,FALSE)</f>
        <v/>
      </c>
      <c r="G136" s="4" t="str">
        <f t="shared" si="14"/>
        <v>NA</v>
      </c>
      <c r="H136" s="4" t="str">
        <f t="shared" si="3"/>
        <v>NA</v>
      </c>
      <c r="J136" s="4" t="str">
        <f t="shared" si="54"/>
        <v/>
      </c>
      <c r="K136" s="2" t="str">
        <f t="shared" si="55"/>
        <v>NA</v>
      </c>
      <c r="M136" s="4" t="str">
        <f t="shared" si="56"/>
        <v>Holiday</v>
      </c>
      <c r="N136" s="4"/>
      <c r="O136" s="4"/>
      <c r="P136" s="4"/>
      <c r="Q136" s="4"/>
    </row>
    <row r="137">
      <c r="A137" s="2">
        <v>5.0</v>
      </c>
      <c r="B137" s="3">
        <f t="shared" si="53"/>
        <v>46060</v>
      </c>
      <c r="C137" s="2" t="s">
        <v>86</v>
      </c>
      <c r="D137" s="2" t="s">
        <v>31</v>
      </c>
      <c r="E137" s="2" t="s">
        <v>92</v>
      </c>
      <c r="F137" s="4" t="str">
        <f>VLOOKUP($E137,Instructors!$A$2:$C693,3,FALSE)</f>
        <v/>
      </c>
      <c r="G137" s="4" t="str">
        <f t="shared" si="14"/>
        <v>NA</v>
      </c>
      <c r="H137" s="4" t="str">
        <f t="shared" si="3"/>
        <v>NA</v>
      </c>
      <c r="J137" s="4" t="str">
        <f t="shared" si="54"/>
        <v/>
      </c>
      <c r="K137" s="2" t="str">
        <f t="shared" si="55"/>
        <v>NA</v>
      </c>
      <c r="M137" s="4" t="str">
        <f t="shared" si="56"/>
        <v>Holiday</v>
      </c>
      <c r="N137" s="4"/>
      <c r="O137" s="4"/>
      <c r="P137" s="4"/>
      <c r="Q137" s="4"/>
    </row>
    <row r="138">
      <c r="A138" s="2">
        <v>5.0</v>
      </c>
      <c r="B138" s="3">
        <f t="shared" ref="B138:B141" si="57">B130+2</f>
        <v>46061</v>
      </c>
      <c r="C138" s="2" t="s">
        <v>93</v>
      </c>
      <c r="D138" s="2" t="s">
        <v>18</v>
      </c>
      <c r="E138" s="2" t="s">
        <v>92</v>
      </c>
      <c r="F138" s="4" t="str">
        <f>VLOOKUP($E138,Instructors!$A$2:$C693,3,FALSE)</f>
        <v/>
      </c>
      <c r="G138" s="4" t="str">
        <f t="shared" si="14"/>
        <v>NA</v>
      </c>
      <c r="H138" s="4" t="str">
        <f t="shared" si="3"/>
        <v>NA</v>
      </c>
      <c r="J138" s="4" t="str">
        <f t="shared" si="54"/>
        <v/>
      </c>
      <c r="K138" s="2" t="str">
        <f t="shared" si="55"/>
        <v>NA</v>
      </c>
      <c r="M138" s="4" t="str">
        <f t="shared" si="56"/>
        <v>Holiday</v>
      </c>
      <c r="N138" s="4"/>
      <c r="O138" s="4"/>
      <c r="P138" s="4"/>
      <c r="Q138" s="4"/>
    </row>
    <row r="139">
      <c r="A139" s="2">
        <v>5.0</v>
      </c>
      <c r="B139" s="3">
        <f t="shared" si="57"/>
        <v>46061</v>
      </c>
      <c r="C139" s="2" t="s">
        <v>93</v>
      </c>
      <c r="D139" s="2" t="s">
        <v>24</v>
      </c>
      <c r="E139" s="2" t="s">
        <v>92</v>
      </c>
      <c r="F139" s="4" t="str">
        <f>VLOOKUP($E139,Instructors!$A$2:$C693,3,FALSE)</f>
        <v/>
      </c>
      <c r="G139" s="4" t="str">
        <f t="shared" si="14"/>
        <v>NA</v>
      </c>
      <c r="H139" s="4" t="str">
        <f t="shared" si="3"/>
        <v>NA</v>
      </c>
      <c r="J139" s="4" t="str">
        <f t="shared" si="54"/>
        <v/>
      </c>
      <c r="K139" s="2" t="str">
        <f t="shared" si="55"/>
        <v>NA</v>
      </c>
      <c r="M139" s="4" t="str">
        <f t="shared" si="56"/>
        <v>Holiday</v>
      </c>
      <c r="N139" s="4"/>
      <c r="O139" s="4"/>
      <c r="P139" s="4"/>
      <c r="Q139" s="4"/>
    </row>
    <row r="140">
      <c r="A140" s="2">
        <v>5.0</v>
      </c>
      <c r="B140" s="3">
        <f t="shared" si="57"/>
        <v>46061</v>
      </c>
      <c r="C140" s="2" t="s">
        <v>93</v>
      </c>
      <c r="D140" s="2" t="s">
        <v>29</v>
      </c>
      <c r="E140" s="2" t="s">
        <v>92</v>
      </c>
      <c r="F140" s="4" t="str">
        <f>VLOOKUP($E140,Instructors!$A$2:$C693,3,FALSE)</f>
        <v/>
      </c>
      <c r="G140" s="4" t="str">
        <f t="shared" si="14"/>
        <v>NA</v>
      </c>
      <c r="H140" s="4" t="str">
        <f t="shared" si="3"/>
        <v>NA</v>
      </c>
      <c r="J140" s="4" t="str">
        <f t="shared" si="54"/>
        <v/>
      </c>
      <c r="K140" s="2" t="str">
        <f t="shared" si="55"/>
        <v>NA</v>
      </c>
      <c r="M140" s="4" t="str">
        <f t="shared" si="56"/>
        <v>Holiday</v>
      </c>
      <c r="N140" s="4"/>
      <c r="O140" s="4"/>
      <c r="P140" s="4"/>
      <c r="Q140" s="4"/>
    </row>
    <row r="141">
      <c r="A141" s="2">
        <v>5.0</v>
      </c>
      <c r="B141" s="3">
        <f t="shared" si="57"/>
        <v>46061</v>
      </c>
      <c r="C141" s="2" t="s">
        <v>93</v>
      </c>
      <c r="D141" s="2" t="s">
        <v>31</v>
      </c>
      <c r="E141" s="2" t="s">
        <v>92</v>
      </c>
      <c r="F141" s="4" t="str">
        <f>VLOOKUP($E141,Instructors!$A$2:$C693,3,FALSE)</f>
        <v/>
      </c>
      <c r="G141" s="4" t="str">
        <f t="shared" si="14"/>
        <v>NA</v>
      </c>
      <c r="H141" s="4" t="str">
        <f t="shared" si="3"/>
        <v>NA</v>
      </c>
      <c r="J141" s="4" t="str">
        <f t="shared" si="54"/>
        <v/>
      </c>
      <c r="K141" s="2" t="str">
        <f t="shared" si="55"/>
        <v>NA</v>
      </c>
      <c r="M141" s="4" t="str">
        <f t="shared" si="56"/>
        <v>Holiday</v>
      </c>
      <c r="N141" s="4"/>
      <c r="O141" s="4"/>
      <c r="P141" s="4"/>
      <c r="Q141" s="4"/>
    </row>
    <row r="142">
      <c r="A142" s="2">
        <v>6.0</v>
      </c>
      <c r="B142" s="3">
        <f t="shared" ref="B142:B145" si="58">B138+1</f>
        <v>46062</v>
      </c>
      <c r="C142" s="2" t="s">
        <v>17</v>
      </c>
      <c r="D142" s="2" t="s">
        <v>18</v>
      </c>
      <c r="E142" s="2" t="s">
        <v>160</v>
      </c>
      <c r="F142" s="4" t="str">
        <f>VLOOKUP($E142,Instructors!$A$2:$C693,3,FALSE)</f>
        <v>&lt;5</v>
      </c>
      <c r="G142" s="4" t="str">
        <f t="shared" si="14"/>
        <v/>
      </c>
      <c r="H142" s="4" t="str">
        <f t="shared" si="3"/>
        <v/>
      </c>
      <c r="I142" s="2" t="s">
        <v>187</v>
      </c>
      <c r="J142" s="2" t="s">
        <v>30</v>
      </c>
      <c r="K142" s="2">
        <v>90.0</v>
      </c>
      <c r="M142" s="2" t="s">
        <v>27</v>
      </c>
      <c r="N142" s="4"/>
      <c r="O142" s="4"/>
      <c r="P142" s="4"/>
      <c r="Q142" s="4"/>
    </row>
    <row r="143">
      <c r="A143" s="2">
        <v>6.0</v>
      </c>
      <c r="B143" s="3">
        <f t="shared" si="58"/>
        <v>46062</v>
      </c>
      <c r="C143" s="2" t="s">
        <v>17</v>
      </c>
      <c r="D143" s="2" t="s">
        <v>24</v>
      </c>
      <c r="E143" s="2" t="s">
        <v>160</v>
      </c>
      <c r="F143" s="4" t="str">
        <f>VLOOKUP($E143,Instructors!$A$2:$C693,3,FALSE)</f>
        <v>&lt;5</v>
      </c>
      <c r="G143" s="4" t="str">
        <f t="shared" si="14"/>
        <v/>
      </c>
      <c r="H143" s="4" t="str">
        <f t="shared" si="3"/>
        <v/>
      </c>
      <c r="I143" s="2" t="s">
        <v>188</v>
      </c>
      <c r="J143" s="2" t="s">
        <v>30</v>
      </c>
      <c r="K143" s="2">
        <v>90.0</v>
      </c>
      <c r="M143" s="2" t="s">
        <v>27</v>
      </c>
      <c r="N143" s="4"/>
      <c r="O143" s="4"/>
      <c r="P143" s="4"/>
      <c r="Q143" s="4"/>
    </row>
    <row r="144">
      <c r="A144" s="2">
        <v>6.0</v>
      </c>
      <c r="B144" s="3">
        <f t="shared" si="58"/>
        <v>46062</v>
      </c>
      <c r="C144" s="2" t="s">
        <v>17</v>
      </c>
      <c r="D144" s="2" t="s">
        <v>29</v>
      </c>
      <c r="E144" s="2" t="s">
        <v>25</v>
      </c>
      <c r="F144" s="4" t="str">
        <f>VLOOKUP($E144,Instructors!$A$2:$C693,3,FALSE)</f>
        <v>Self</v>
      </c>
      <c r="G144" s="4" t="str">
        <f t="shared" si="14"/>
        <v>NA</v>
      </c>
      <c r="H144" s="4" t="str">
        <f t="shared" si="3"/>
        <v/>
      </c>
      <c r="J144" s="4" t="str">
        <f>if($E144="Capstone","Capstone",if($E144="Holiday",""))</f>
        <v>Capstone</v>
      </c>
      <c r="K144" s="2">
        <v>60.0</v>
      </c>
      <c r="M144" s="2" t="s">
        <v>25</v>
      </c>
      <c r="N144" s="4"/>
      <c r="O144" s="4"/>
      <c r="P144" s="4"/>
      <c r="Q144" s="4"/>
    </row>
    <row r="145">
      <c r="A145" s="2">
        <v>6.0</v>
      </c>
      <c r="B145" s="3">
        <f t="shared" si="58"/>
        <v>46062</v>
      </c>
      <c r="C145" s="2" t="s">
        <v>17</v>
      </c>
      <c r="D145" s="2" t="s">
        <v>31</v>
      </c>
      <c r="E145" s="2" t="s">
        <v>19</v>
      </c>
      <c r="F145" s="4" t="str">
        <f>VLOOKUP($E145,Instructors!$A$2:$C693,3,FALSE)</f>
        <v>&gt;20</v>
      </c>
      <c r="G145" s="4" t="str">
        <f t="shared" si="14"/>
        <v/>
      </c>
      <c r="H145" s="4" t="str">
        <f t="shared" si="3"/>
        <v/>
      </c>
      <c r="I145" s="2" t="s">
        <v>189</v>
      </c>
      <c r="J145" s="2" t="s">
        <v>89</v>
      </c>
      <c r="K145" s="2">
        <v>90.0</v>
      </c>
      <c r="M145" s="2" t="s">
        <v>27</v>
      </c>
      <c r="N145" s="2" t="s">
        <v>90</v>
      </c>
      <c r="O145" s="2" t="s">
        <v>91</v>
      </c>
      <c r="P145" s="2" t="s">
        <v>89</v>
      </c>
      <c r="Q145" s="4"/>
    </row>
    <row r="146">
      <c r="A146" s="2">
        <v>6.0</v>
      </c>
      <c r="B146" s="3">
        <f t="shared" ref="B146:B149" si="59">B138+2</f>
        <v>46063</v>
      </c>
      <c r="C146" s="2" t="s">
        <v>33</v>
      </c>
      <c r="D146" s="2" t="s">
        <v>18</v>
      </c>
      <c r="E146" s="2" t="s">
        <v>46</v>
      </c>
      <c r="F146" s="4" t="str">
        <f>VLOOKUP($E146,Instructors!$A$2:$C693,3,FALSE)</f>
        <v>&gt;10</v>
      </c>
      <c r="G146" s="4" t="str">
        <f t="shared" si="14"/>
        <v/>
      </c>
      <c r="H146" s="4" t="str">
        <f t="shared" si="3"/>
        <v/>
      </c>
      <c r="I146" s="2" t="s">
        <v>163</v>
      </c>
      <c r="J146" s="2" t="s">
        <v>21</v>
      </c>
      <c r="K146" s="2">
        <v>90.0</v>
      </c>
      <c r="M146" s="2" t="s">
        <v>129</v>
      </c>
      <c r="N146" s="2" t="s">
        <v>28</v>
      </c>
      <c r="O146" s="2" t="s">
        <v>137</v>
      </c>
      <c r="P146" s="2" t="s">
        <v>105</v>
      </c>
      <c r="Q146" s="4"/>
    </row>
    <row r="147">
      <c r="A147" s="2">
        <v>6.0</v>
      </c>
      <c r="B147" s="3">
        <f t="shared" si="59"/>
        <v>46063</v>
      </c>
      <c r="C147" s="2" t="s">
        <v>33</v>
      </c>
      <c r="D147" s="2" t="s">
        <v>24</v>
      </c>
      <c r="E147" s="2" t="s">
        <v>127</v>
      </c>
      <c r="F147" s="4" t="str">
        <f>VLOOKUP($E147,Instructors!$A$2:$C693,3,FALSE)</f>
        <v>&lt;5</v>
      </c>
      <c r="G147" s="4" t="str">
        <f t="shared" si="14"/>
        <v/>
      </c>
      <c r="H147" s="4" t="str">
        <f t="shared" si="3"/>
        <v/>
      </c>
      <c r="I147" s="2" t="s">
        <v>190</v>
      </c>
      <c r="J147" s="2" t="s">
        <v>141</v>
      </c>
      <c r="K147" s="2">
        <v>120.0</v>
      </c>
      <c r="M147" s="2" t="s">
        <v>153</v>
      </c>
      <c r="N147" s="2" t="s">
        <v>174</v>
      </c>
      <c r="O147" s="2" t="s">
        <v>38</v>
      </c>
      <c r="P147" s="2" t="s">
        <v>105</v>
      </c>
      <c r="Q147" s="2" t="s">
        <v>191</v>
      </c>
    </row>
    <row r="148">
      <c r="A148" s="2">
        <v>6.0</v>
      </c>
      <c r="B148" s="3">
        <f t="shared" si="59"/>
        <v>46063</v>
      </c>
      <c r="C148" s="2" t="s">
        <v>33</v>
      </c>
      <c r="D148" s="2" t="s">
        <v>29</v>
      </c>
      <c r="E148" s="2" t="s">
        <v>25</v>
      </c>
      <c r="F148" s="4" t="str">
        <f>VLOOKUP($E148,Instructors!$A$2:$C693,3,FALSE)</f>
        <v>Self</v>
      </c>
      <c r="G148" s="4" t="str">
        <f t="shared" si="14"/>
        <v>NA</v>
      </c>
      <c r="H148" s="4" t="str">
        <f t="shared" si="3"/>
        <v/>
      </c>
      <c r="J148" s="4" t="str">
        <f>if($E148="Capstone","Capstone",if($E148="Holiday",""))</f>
        <v>Capstone</v>
      </c>
      <c r="K148" s="2">
        <v>90.0</v>
      </c>
      <c r="M148" s="4" t="str">
        <f>if($E148="Holiday","Holiday",if($E148="Capstone","Capstone"))</f>
        <v>Capstone</v>
      </c>
      <c r="N148" s="4"/>
      <c r="O148" s="4"/>
      <c r="P148" s="4"/>
      <c r="Q148" s="4"/>
    </row>
    <row r="149">
      <c r="A149" s="2">
        <v>6.0</v>
      </c>
      <c r="B149" s="3">
        <f t="shared" si="59"/>
        <v>46063</v>
      </c>
      <c r="C149" s="2" t="s">
        <v>33</v>
      </c>
      <c r="D149" s="2" t="s">
        <v>31</v>
      </c>
      <c r="E149" s="2" t="s">
        <v>127</v>
      </c>
      <c r="F149" s="4" t="str">
        <f>VLOOKUP($E149,Instructors!$A$2:$C693,3,FALSE)</f>
        <v>&lt;5</v>
      </c>
      <c r="G149" s="4" t="str">
        <f t="shared" si="14"/>
        <v/>
      </c>
      <c r="H149" s="4" t="str">
        <f t="shared" si="3"/>
        <v/>
      </c>
      <c r="I149" s="2" t="s">
        <v>192</v>
      </c>
      <c r="J149" s="2" t="s">
        <v>141</v>
      </c>
      <c r="K149" s="2">
        <v>90.0</v>
      </c>
      <c r="M149" s="2" t="s">
        <v>153</v>
      </c>
      <c r="N149" s="2" t="s">
        <v>174</v>
      </c>
      <c r="O149" s="2" t="s">
        <v>44</v>
      </c>
      <c r="P149" s="2" t="s">
        <v>64</v>
      </c>
      <c r="Q149" s="4"/>
    </row>
    <row r="150">
      <c r="A150" s="2">
        <v>6.0</v>
      </c>
      <c r="B150" s="3">
        <f t="shared" ref="B150:B153" si="60">B146+1</f>
        <v>46064</v>
      </c>
      <c r="C150" s="2" t="s">
        <v>45</v>
      </c>
      <c r="D150" s="2" t="s">
        <v>18</v>
      </c>
      <c r="E150" s="2" t="s">
        <v>127</v>
      </c>
      <c r="F150" s="4" t="str">
        <f>VLOOKUP($E150,Instructors!$A$2:$C693,3,FALSE)</f>
        <v>&lt;5</v>
      </c>
      <c r="G150" s="4" t="str">
        <f t="shared" si="14"/>
        <v/>
      </c>
      <c r="H150" s="4" t="str">
        <f t="shared" si="3"/>
        <v/>
      </c>
      <c r="I150" s="2" t="s">
        <v>193</v>
      </c>
      <c r="J150" s="2" t="s">
        <v>141</v>
      </c>
      <c r="K150" s="2">
        <v>90.0</v>
      </c>
      <c r="M150" s="2" t="s">
        <v>153</v>
      </c>
      <c r="N150" s="2" t="s">
        <v>194</v>
      </c>
      <c r="O150" s="2" t="s">
        <v>105</v>
      </c>
      <c r="P150" s="2" t="s">
        <v>137</v>
      </c>
      <c r="Q150" s="2" t="s">
        <v>175</v>
      </c>
    </row>
    <row r="151">
      <c r="A151" s="2">
        <v>6.0</v>
      </c>
      <c r="B151" s="3">
        <f t="shared" si="60"/>
        <v>46064</v>
      </c>
      <c r="C151" s="2" t="s">
        <v>45</v>
      </c>
      <c r="D151" s="2" t="s">
        <v>24</v>
      </c>
      <c r="E151" s="2" t="s">
        <v>25</v>
      </c>
      <c r="F151" s="4" t="str">
        <f>VLOOKUP($E151,Instructors!$A$2:$C693,3,FALSE)</f>
        <v>Self</v>
      </c>
      <c r="G151" s="4" t="str">
        <f t="shared" si="14"/>
        <v>NA</v>
      </c>
      <c r="H151" s="4" t="str">
        <f t="shared" si="3"/>
        <v/>
      </c>
      <c r="J151" s="4" t="str">
        <f>if($E151="Capstone","Capstone",if($E151="Holiday",""))</f>
        <v>Capstone</v>
      </c>
      <c r="K151" s="2">
        <v>90.0</v>
      </c>
      <c r="M151" s="2" t="s">
        <v>25</v>
      </c>
      <c r="N151" s="4"/>
      <c r="O151" s="4"/>
      <c r="P151" s="4"/>
      <c r="Q151" s="4"/>
    </row>
    <row r="152">
      <c r="A152" s="2">
        <v>6.0</v>
      </c>
      <c r="B152" s="3">
        <f t="shared" si="60"/>
        <v>46064</v>
      </c>
      <c r="C152" s="2" t="s">
        <v>45</v>
      </c>
      <c r="D152" s="2" t="s">
        <v>29</v>
      </c>
      <c r="E152" s="2" t="s">
        <v>156</v>
      </c>
      <c r="F152" s="4" t="str">
        <f>VLOOKUP($E152,Instructors!$A$2:$C693,3,FALSE)</f>
        <v>&gt;20</v>
      </c>
      <c r="G152" s="4" t="str">
        <f t="shared" si="14"/>
        <v/>
      </c>
      <c r="H152" s="4" t="str">
        <f t="shared" si="3"/>
        <v/>
      </c>
      <c r="I152" s="2" t="s">
        <v>195</v>
      </c>
      <c r="J152" s="2" t="s">
        <v>141</v>
      </c>
      <c r="K152" s="2">
        <v>90.0</v>
      </c>
      <c r="M152" s="2" t="s">
        <v>22</v>
      </c>
      <c r="N152" s="2" t="s">
        <v>38</v>
      </c>
      <c r="O152" s="2" t="s">
        <v>42</v>
      </c>
      <c r="P152" s="2" t="s">
        <v>60</v>
      </c>
      <c r="Q152" s="4"/>
    </row>
    <row r="153">
      <c r="A153" s="2">
        <v>6.0</v>
      </c>
      <c r="B153" s="3">
        <f t="shared" si="60"/>
        <v>46064</v>
      </c>
      <c r="C153" s="2" t="s">
        <v>45</v>
      </c>
      <c r="D153" s="2" t="s">
        <v>31</v>
      </c>
      <c r="E153" s="2" t="s">
        <v>156</v>
      </c>
      <c r="F153" s="4" t="str">
        <f>VLOOKUP($E153,Instructors!$A$2:$C693,3,FALSE)</f>
        <v>&gt;20</v>
      </c>
      <c r="G153" s="4" t="str">
        <f t="shared" si="14"/>
        <v/>
      </c>
      <c r="H153" s="4" t="str">
        <f t="shared" si="3"/>
        <v/>
      </c>
      <c r="I153" s="2" t="s">
        <v>195</v>
      </c>
      <c r="J153" s="2" t="s">
        <v>141</v>
      </c>
      <c r="K153" s="2">
        <v>90.0</v>
      </c>
      <c r="M153" s="2" t="s">
        <v>22</v>
      </c>
      <c r="N153" s="2" t="s">
        <v>41</v>
      </c>
      <c r="O153" s="2" t="s">
        <v>78</v>
      </c>
      <c r="P153" s="4"/>
      <c r="Q153" s="4"/>
    </row>
    <row r="154">
      <c r="A154" s="2">
        <v>6.0</v>
      </c>
      <c r="B154" s="3">
        <f t="shared" ref="B154:B157" si="61">B146+2</f>
        <v>46065</v>
      </c>
      <c r="C154" s="2" t="s">
        <v>57</v>
      </c>
      <c r="D154" s="2" t="s">
        <v>18</v>
      </c>
      <c r="E154" s="2" t="s">
        <v>184</v>
      </c>
      <c r="F154" s="4" t="str">
        <f>VLOOKUP($E154,Instructors!$A$2:$C693,3,FALSE)</f>
        <v>&gt;40</v>
      </c>
      <c r="G154" s="4" t="str">
        <f t="shared" si="14"/>
        <v/>
      </c>
      <c r="H154" s="4" t="str">
        <f t="shared" si="3"/>
        <v/>
      </c>
      <c r="I154" s="2" t="s">
        <v>196</v>
      </c>
      <c r="J154" s="2" t="s">
        <v>141</v>
      </c>
      <c r="K154" s="2">
        <v>90.0</v>
      </c>
      <c r="M154" s="2" t="s">
        <v>22</v>
      </c>
      <c r="N154" s="2" t="s">
        <v>38</v>
      </c>
      <c r="O154" s="4"/>
      <c r="P154" s="4"/>
      <c r="Q154" s="4"/>
    </row>
    <row r="155">
      <c r="A155" s="2">
        <v>6.0</v>
      </c>
      <c r="B155" s="3">
        <f t="shared" si="61"/>
        <v>46065</v>
      </c>
      <c r="C155" s="2" t="s">
        <v>57</v>
      </c>
      <c r="D155" s="2" t="s">
        <v>24</v>
      </c>
      <c r="E155" s="2" t="s">
        <v>184</v>
      </c>
      <c r="F155" s="4" t="str">
        <f>VLOOKUP($E155,Instructors!$A$2:$C693,3,FALSE)</f>
        <v>&gt;40</v>
      </c>
      <c r="G155" s="4" t="str">
        <f t="shared" si="14"/>
        <v/>
      </c>
      <c r="H155" s="4" t="str">
        <f t="shared" si="3"/>
        <v/>
      </c>
      <c r="I155" s="2" t="s">
        <v>196</v>
      </c>
      <c r="J155" s="2" t="s">
        <v>141</v>
      </c>
      <c r="K155" s="2">
        <v>90.0</v>
      </c>
      <c r="M155" s="2" t="s">
        <v>22</v>
      </c>
      <c r="N155" s="2" t="s">
        <v>179</v>
      </c>
      <c r="O155" s="2" t="s">
        <v>197</v>
      </c>
      <c r="P155" s="4"/>
      <c r="Q155" s="4"/>
    </row>
    <row r="156">
      <c r="A156" s="2">
        <v>6.0</v>
      </c>
      <c r="B156" s="3">
        <f t="shared" si="61"/>
        <v>46065</v>
      </c>
      <c r="C156" s="2" t="s">
        <v>57</v>
      </c>
      <c r="D156" s="2" t="s">
        <v>29</v>
      </c>
      <c r="E156" s="2" t="s">
        <v>25</v>
      </c>
      <c r="F156" s="4" t="str">
        <f>VLOOKUP($E156,Instructors!$A$2:$C693,3,FALSE)</f>
        <v>Self</v>
      </c>
      <c r="G156" s="4" t="str">
        <f t="shared" si="14"/>
        <v>NA</v>
      </c>
      <c r="H156" s="4" t="str">
        <f t="shared" si="3"/>
        <v/>
      </c>
      <c r="J156" s="4" t="str">
        <f>if($E156="Capstone","Capstone",if($E156="Holiday",""))</f>
        <v>Capstone</v>
      </c>
      <c r="K156" s="2">
        <v>60.0</v>
      </c>
      <c r="M156" s="2" t="s">
        <v>25</v>
      </c>
      <c r="N156" s="4"/>
      <c r="O156" s="4"/>
      <c r="P156" s="4"/>
      <c r="Q156" s="4"/>
    </row>
    <row r="157">
      <c r="A157" s="2">
        <v>6.0</v>
      </c>
      <c r="B157" s="3">
        <f t="shared" si="61"/>
        <v>46065</v>
      </c>
      <c r="C157" s="2" t="s">
        <v>57</v>
      </c>
      <c r="D157" s="2" t="s">
        <v>31</v>
      </c>
      <c r="E157" s="2" t="s">
        <v>184</v>
      </c>
      <c r="F157" s="4" t="str">
        <f>VLOOKUP($E157,Instructors!$A$2:$C693,3,FALSE)</f>
        <v>&gt;40</v>
      </c>
      <c r="G157" s="4" t="str">
        <f t="shared" si="14"/>
        <v/>
      </c>
      <c r="H157" s="4" t="str">
        <f t="shared" si="3"/>
        <v/>
      </c>
      <c r="I157" s="2" t="s">
        <v>198</v>
      </c>
      <c r="J157" s="2" t="s">
        <v>141</v>
      </c>
      <c r="K157" s="2">
        <v>90.0</v>
      </c>
      <c r="M157" s="2" t="s">
        <v>22</v>
      </c>
      <c r="N157" s="2" t="s">
        <v>179</v>
      </c>
      <c r="O157" s="4"/>
      <c r="P157" s="4"/>
      <c r="Q157" s="4"/>
    </row>
    <row r="158">
      <c r="A158" s="2">
        <v>6.0</v>
      </c>
      <c r="B158" s="3">
        <f t="shared" ref="B158:B161" si="62">B154+1</f>
        <v>46066</v>
      </c>
      <c r="C158" s="2" t="s">
        <v>73</v>
      </c>
      <c r="D158" s="2" t="s">
        <v>18</v>
      </c>
      <c r="E158" s="2" t="s">
        <v>46</v>
      </c>
      <c r="F158" s="4" t="str">
        <f>VLOOKUP($E158,Instructors!$A$2:$C693,3,FALSE)</f>
        <v>&gt;10</v>
      </c>
      <c r="G158" s="4" t="str">
        <f t="shared" si="14"/>
        <v/>
      </c>
      <c r="H158" s="4" t="str">
        <f t="shared" si="3"/>
        <v/>
      </c>
      <c r="I158" s="2" t="s">
        <v>199</v>
      </c>
      <c r="J158" s="2" t="s">
        <v>21</v>
      </c>
      <c r="K158" s="2">
        <v>90.0</v>
      </c>
      <c r="M158" s="2" t="s">
        <v>22</v>
      </c>
      <c r="N158" s="2" t="s">
        <v>41</v>
      </c>
      <c r="O158" s="2" t="s">
        <v>137</v>
      </c>
      <c r="P158" s="4"/>
      <c r="Q158" s="4"/>
    </row>
    <row r="159">
      <c r="A159" s="2">
        <v>6.0</v>
      </c>
      <c r="B159" s="3">
        <f t="shared" si="62"/>
        <v>46066</v>
      </c>
      <c r="C159" s="2" t="s">
        <v>73</v>
      </c>
      <c r="D159" s="2" t="s">
        <v>24</v>
      </c>
      <c r="E159" s="2" t="s">
        <v>144</v>
      </c>
      <c r="F159" s="4" t="str">
        <f>VLOOKUP($E159,Instructors!$A$2:$C693,3,FALSE)</f>
        <v>&gt;10</v>
      </c>
      <c r="G159" s="4" t="str">
        <f t="shared" si="14"/>
        <v/>
      </c>
      <c r="H159" s="4" t="str">
        <f t="shared" si="3"/>
        <v/>
      </c>
      <c r="I159" s="2" t="s">
        <v>77</v>
      </c>
      <c r="J159" s="2" t="s">
        <v>146</v>
      </c>
      <c r="K159" s="2">
        <v>90.0</v>
      </c>
      <c r="M159" s="2" t="s">
        <v>22</v>
      </c>
      <c r="N159" s="2" t="s">
        <v>77</v>
      </c>
      <c r="O159" s="4"/>
      <c r="P159" s="4"/>
      <c r="Q159" s="4"/>
    </row>
    <row r="160">
      <c r="A160" s="2">
        <v>6.0</v>
      </c>
      <c r="B160" s="3">
        <f t="shared" si="62"/>
        <v>46066</v>
      </c>
      <c r="C160" s="2" t="s">
        <v>73</v>
      </c>
      <c r="D160" s="2" t="s">
        <v>29</v>
      </c>
      <c r="E160" s="2" t="s">
        <v>25</v>
      </c>
      <c r="F160" s="4" t="str">
        <f>VLOOKUP($E160,Instructors!$A$2:$C693,3,FALSE)</f>
        <v>Self</v>
      </c>
      <c r="G160" s="4" t="str">
        <f t="shared" si="14"/>
        <v>NA</v>
      </c>
      <c r="H160" s="4" t="str">
        <f t="shared" si="3"/>
        <v/>
      </c>
      <c r="J160" s="4" t="str">
        <f>if($E160="Capstone","Capstone",if($E160="Holiday",""))</f>
        <v>Capstone</v>
      </c>
      <c r="K160" s="2">
        <v>90.0</v>
      </c>
      <c r="M160" s="2" t="s">
        <v>25</v>
      </c>
      <c r="N160" s="4"/>
      <c r="O160" s="4"/>
      <c r="P160" s="4"/>
      <c r="Q160" s="4"/>
    </row>
    <row r="161">
      <c r="A161" s="2">
        <v>6.0</v>
      </c>
      <c r="B161" s="3">
        <f t="shared" si="62"/>
        <v>46066</v>
      </c>
      <c r="C161" s="2" t="s">
        <v>73</v>
      </c>
      <c r="D161" s="2" t="s">
        <v>31</v>
      </c>
      <c r="E161" s="2" t="s">
        <v>127</v>
      </c>
      <c r="F161" s="4" t="str">
        <f>VLOOKUP($E161,Instructors!$A$2:$C693,3,FALSE)</f>
        <v>&lt;5</v>
      </c>
      <c r="G161" s="4" t="str">
        <f t="shared" si="14"/>
        <v/>
      </c>
      <c r="H161" s="4" t="str">
        <f t="shared" si="3"/>
        <v/>
      </c>
      <c r="I161" s="2" t="s">
        <v>200</v>
      </c>
      <c r="J161" s="2" t="s">
        <v>36</v>
      </c>
      <c r="K161" s="2">
        <v>90.0</v>
      </c>
      <c r="M161" s="2" t="s">
        <v>153</v>
      </c>
      <c r="N161" s="2" t="s">
        <v>201</v>
      </c>
      <c r="O161" s="2" t="s">
        <v>51</v>
      </c>
      <c r="P161" s="2" t="s">
        <v>55</v>
      </c>
      <c r="Q161" s="2" t="s">
        <v>61</v>
      </c>
    </row>
    <row r="162">
      <c r="A162" s="2">
        <v>6.0</v>
      </c>
      <c r="B162" s="3">
        <f t="shared" ref="B162:B165" si="63">B154+2</f>
        <v>46067</v>
      </c>
      <c r="C162" s="2" t="s">
        <v>86</v>
      </c>
      <c r="D162" s="2" t="s">
        <v>18</v>
      </c>
      <c r="E162" s="2" t="s">
        <v>92</v>
      </c>
      <c r="F162" s="4" t="str">
        <f>VLOOKUP($E162,Instructors!$A$2:$C693,3,FALSE)</f>
        <v/>
      </c>
      <c r="G162" s="4" t="str">
        <f t="shared" si="14"/>
        <v>NA</v>
      </c>
      <c r="H162" s="4" t="str">
        <f t="shared" si="3"/>
        <v>NA</v>
      </c>
      <c r="J162" s="4" t="str">
        <f t="shared" ref="J162:J169" si="64">if($E162="Capstone","Capstone",if($E162="Holiday",""))</f>
        <v/>
      </c>
      <c r="K162" s="2" t="str">
        <f t="shared" ref="K162:K169" si="65">if($E162="Holiday","NA")</f>
        <v>NA</v>
      </c>
      <c r="M162" s="4" t="str">
        <f t="shared" ref="M162:M169" si="66">if($E162="Holiday","Holiday",if($E162="Capstone","Capstone"))</f>
        <v>Holiday</v>
      </c>
      <c r="N162" s="4"/>
      <c r="O162" s="4"/>
      <c r="P162" s="4"/>
      <c r="Q162" s="4"/>
    </row>
    <row r="163">
      <c r="A163" s="2">
        <v>6.0</v>
      </c>
      <c r="B163" s="3">
        <f t="shared" si="63"/>
        <v>46067</v>
      </c>
      <c r="C163" s="2" t="s">
        <v>86</v>
      </c>
      <c r="D163" s="2" t="s">
        <v>24</v>
      </c>
      <c r="E163" s="2" t="s">
        <v>92</v>
      </c>
      <c r="F163" s="4" t="str">
        <f>VLOOKUP($E163,Instructors!$A$2:$C693,3,FALSE)</f>
        <v/>
      </c>
      <c r="G163" s="4" t="str">
        <f t="shared" si="14"/>
        <v>NA</v>
      </c>
      <c r="H163" s="4" t="str">
        <f t="shared" si="3"/>
        <v>NA</v>
      </c>
      <c r="J163" s="4" t="str">
        <f t="shared" si="64"/>
        <v/>
      </c>
      <c r="K163" s="2" t="str">
        <f t="shared" si="65"/>
        <v>NA</v>
      </c>
      <c r="M163" s="4" t="str">
        <f t="shared" si="66"/>
        <v>Holiday</v>
      </c>
      <c r="N163" s="4"/>
      <c r="O163" s="4"/>
      <c r="P163" s="4"/>
      <c r="Q163" s="4"/>
    </row>
    <row r="164">
      <c r="A164" s="2">
        <v>6.0</v>
      </c>
      <c r="B164" s="3">
        <f t="shared" si="63"/>
        <v>46067</v>
      </c>
      <c r="C164" s="2" t="s">
        <v>86</v>
      </c>
      <c r="D164" s="2" t="s">
        <v>29</v>
      </c>
      <c r="E164" s="2" t="s">
        <v>92</v>
      </c>
      <c r="F164" s="4" t="str">
        <f>VLOOKUP($E164,Instructors!$A$2:$C693,3,FALSE)</f>
        <v/>
      </c>
      <c r="G164" s="4" t="str">
        <f t="shared" si="14"/>
        <v>NA</v>
      </c>
      <c r="H164" s="4" t="str">
        <f t="shared" si="3"/>
        <v>NA</v>
      </c>
      <c r="J164" s="4" t="str">
        <f t="shared" si="64"/>
        <v/>
      </c>
      <c r="K164" s="2" t="str">
        <f t="shared" si="65"/>
        <v>NA</v>
      </c>
      <c r="M164" s="4" t="str">
        <f t="shared" si="66"/>
        <v>Holiday</v>
      </c>
      <c r="N164" s="4"/>
      <c r="O164" s="4"/>
      <c r="P164" s="4"/>
      <c r="Q164" s="4"/>
    </row>
    <row r="165">
      <c r="A165" s="2">
        <v>6.0</v>
      </c>
      <c r="B165" s="3">
        <f t="shared" si="63"/>
        <v>46067</v>
      </c>
      <c r="C165" s="2" t="s">
        <v>86</v>
      </c>
      <c r="D165" s="2" t="s">
        <v>31</v>
      </c>
      <c r="E165" s="2" t="s">
        <v>92</v>
      </c>
      <c r="F165" s="4" t="str">
        <f>VLOOKUP($E165,Instructors!$A$2:$C693,3,FALSE)</f>
        <v/>
      </c>
      <c r="G165" s="4" t="str">
        <f t="shared" si="14"/>
        <v>NA</v>
      </c>
      <c r="H165" s="4" t="str">
        <f t="shared" si="3"/>
        <v>NA</v>
      </c>
      <c r="J165" s="4" t="str">
        <f t="shared" si="64"/>
        <v/>
      </c>
      <c r="K165" s="2" t="str">
        <f t="shared" si="65"/>
        <v>NA</v>
      </c>
      <c r="M165" s="4" t="str">
        <f t="shared" si="66"/>
        <v>Holiday</v>
      </c>
      <c r="N165" s="4"/>
      <c r="O165" s="4"/>
      <c r="P165" s="4"/>
      <c r="Q165" s="4"/>
    </row>
    <row r="166">
      <c r="A166" s="2">
        <v>6.0</v>
      </c>
      <c r="B166" s="3">
        <f t="shared" ref="B166:B169" si="67">B162+1</f>
        <v>46068</v>
      </c>
      <c r="C166" s="2" t="s">
        <v>93</v>
      </c>
      <c r="D166" s="2" t="s">
        <v>18</v>
      </c>
      <c r="E166" s="2" t="s">
        <v>92</v>
      </c>
      <c r="F166" s="4" t="str">
        <f>VLOOKUP($E166,Instructors!$A$2:$C693,3,FALSE)</f>
        <v/>
      </c>
      <c r="G166" s="4" t="str">
        <f t="shared" si="14"/>
        <v>NA</v>
      </c>
      <c r="H166" s="4" t="str">
        <f t="shared" si="3"/>
        <v>NA</v>
      </c>
      <c r="J166" s="4" t="str">
        <f t="shared" si="64"/>
        <v/>
      </c>
      <c r="K166" s="2" t="str">
        <f t="shared" si="65"/>
        <v>NA</v>
      </c>
      <c r="M166" s="4" t="str">
        <f t="shared" si="66"/>
        <v>Holiday</v>
      </c>
      <c r="N166" s="4"/>
      <c r="O166" s="4"/>
      <c r="P166" s="4"/>
      <c r="Q166" s="4"/>
    </row>
    <row r="167">
      <c r="A167" s="2">
        <v>6.0</v>
      </c>
      <c r="B167" s="3">
        <f t="shared" si="67"/>
        <v>46068</v>
      </c>
      <c r="C167" s="2" t="s">
        <v>93</v>
      </c>
      <c r="D167" s="2" t="s">
        <v>24</v>
      </c>
      <c r="E167" s="2" t="s">
        <v>92</v>
      </c>
      <c r="F167" s="4" t="str">
        <f>VLOOKUP($E167,Instructors!$A$2:$C693,3,FALSE)</f>
        <v/>
      </c>
      <c r="G167" s="4" t="str">
        <f t="shared" si="14"/>
        <v>NA</v>
      </c>
      <c r="H167" s="4" t="str">
        <f t="shared" si="3"/>
        <v>NA</v>
      </c>
      <c r="J167" s="4" t="str">
        <f t="shared" si="64"/>
        <v/>
      </c>
      <c r="K167" s="2" t="str">
        <f t="shared" si="65"/>
        <v>NA</v>
      </c>
      <c r="M167" s="4" t="str">
        <f t="shared" si="66"/>
        <v>Holiday</v>
      </c>
      <c r="N167" s="4"/>
      <c r="O167" s="4"/>
      <c r="P167" s="4"/>
      <c r="Q167" s="4"/>
    </row>
    <row r="168">
      <c r="A168" s="2">
        <v>6.0</v>
      </c>
      <c r="B168" s="3">
        <f t="shared" si="67"/>
        <v>46068</v>
      </c>
      <c r="C168" s="2" t="s">
        <v>93</v>
      </c>
      <c r="D168" s="2" t="s">
        <v>29</v>
      </c>
      <c r="E168" s="2" t="s">
        <v>92</v>
      </c>
      <c r="F168" s="4" t="str">
        <f>VLOOKUP($E168,Instructors!$A$2:$C693,3,FALSE)</f>
        <v/>
      </c>
      <c r="G168" s="4" t="str">
        <f t="shared" si="14"/>
        <v>NA</v>
      </c>
      <c r="H168" s="4" t="str">
        <f t="shared" si="3"/>
        <v>NA</v>
      </c>
      <c r="J168" s="4" t="str">
        <f t="shared" si="64"/>
        <v/>
      </c>
      <c r="K168" s="2" t="str">
        <f t="shared" si="65"/>
        <v>NA</v>
      </c>
      <c r="M168" s="4" t="str">
        <f t="shared" si="66"/>
        <v>Holiday</v>
      </c>
      <c r="N168" s="4"/>
      <c r="O168" s="4"/>
      <c r="P168" s="4"/>
      <c r="Q168" s="4"/>
    </row>
    <row r="169">
      <c r="A169" s="2">
        <v>6.0</v>
      </c>
      <c r="B169" s="3">
        <f t="shared" si="67"/>
        <v>46068</v>
      </c>
      <c r="C169" s="2" t="s">
        <v>93</v>
      </c>
      <c r="D169" s="2" t="s">
        <v>31</v>
      </c>
      <c r="E169" s="2" t="s">
        <v>92</v>
      </c>
      <c r="F169" s="4" t="str">
        <f>VLOOKUP($E169,Instructors!$A$2:$C693,3,FALSE)</f>
        <v/>
      </c>
      <c r="G169" s="4" t="str">
        <f t="shared" si="14"/>
        <v>NA</v>
      </c>
      <c r="H169" s="4" t="str">
        <f t="shared" si="3"/>
        <v>NA</v>
      </c>
      <c r="J169" s="4" t="str">
        <f t="shared" si="64"/>
        <v/>
      </c>
      <c r="K169" s="2" t="str">
        <f t="shared" si="65"/>
        <v>NA</v>
      </c>
      <c r="M169" s="4" t="str">
        <f t="shared" si="66"/>
        <v>Holiday</v>
      </c>
      <c r="N169" s="4"/>
      <c r="O169" s="4"/>
      <c r="P169" s="4"/>
      <c r="Q169" s="4"/>
    </row>
    <row r="170">
      <c r="A170" s="2">
        <v>7.0</v>
      </c>
      <c r="B170" s="3">
        <f t="shared" ref="B170:B173" si="68">B162+2</f>
        <v>46069</v>
      </c>
      <c r="C170" s="2" t="s">
        <v>17</v>
      </c>
      <c r="D170" s="2" t="s">
        <v>18</v>
      </c>
      <c r="E170" s="2" t="s">
        <v>19</v>
      </c>
      <c r="F170" s="4" t="str">
        <f>VLOOKUP($E170,Instructors!$A$2:$C693,3,FALSE)</f>
        <v>&gt;20</v>
      </c>
      <c r="G170" s="4" t="str">
        <f t="shared" si="14"/>
        <v/>
      </c>
      <c r="H170" s="4" t="str">
        <f t="shared" si="3"/>
        <v/>
      </c>
      <c r="I170" s="2" t="s">
        <v>202</v>
      </c>
      <c r="J170" s="2" t="s">
        <v>89</v>
      </c>
      <c r="K170" s="2">
        <v>90.0</v>
      </c>
      <c r="M170" s="2" t="s">
        <v>27</v>
      </c>
      <c r="N170" s="2" t="s">
        <v>90</v>
      </c>
      <c r="O170" s="2" t="s">
        <v>91</v>
      </c>
      <c r="P170" s="2" t="s">
        <v>89</v>
      </c>
      <c r="Q170" s="4"/>
    </row>
    <row r="171">
      <c r="A171" s="2">
        <v>7.0</v>
      </c>
      <c r="B171" s="3">
        <f t="shared" si="68"/>
        <v>46069</v>
      </c>
      <c r="C171" s="2" t="s">
        <v>17</v>
      </c>
      <c r="D171" s="2" t="s">
        <v>24</v>
      </c>
      <c r="E171" s="2" t="s">
        <v>127</v>
      </c>
      <c r="F171" s="4" t="str">
        <f>VLOOKUP($E171,Instructors!$A$2:$C693,3,FALSE)</f>
        <v>&lt;5</v>
      </c>
      <c r="G171" s="4" t="str">
        <f t="shared" si="14"/>
        <v/>
      </c>
      <c r="H171" s="4" t="str">
        <f t="shared" si="3"/>
        <v/>
      </c>
      <c r="I171" s="2" t="s">
        <v>203</v>
      </c>
      <c r="J171" s="2" t="s">
        <v>36</v>
      </c>
      <c r="K171" s="2">
        <v>90.0</v>
      </c>
      <c r="M171" s="2" t="s">
        <v>153</v>
      </c>
      <c r="N171" s="2" t="s">
        <v>52</v>
      </c>
      <c r="O171" s="2" t="s">
        <v>70</v>
      </c>
      <c r="P171" s="2" t="s">
        <v>53</v>
      </c>
      <c r="Q171" s="2" t="s">
        <v>204</v>
      </c>
    </row>
    <row r="172">
      <c r="A172" s="2">
        <v>7.0</v>
      </c>
      <c r="B172" s="3">
        <f t="shared" si="68"/>
        <v>46069</v>
      </c>
      <c r="C172" s="2" t="s">
        <v>17</v>
      </c>
      <c r="D172" s="2" t="s">
        <v>29</v>
      </c>
      <c r="E172" s="2" t="s">
        <v>25</v>
      </c>
      <c r="F172" s="4" t="str">
        <f>VLOOKUP($E172,Instructors!$A$2:$C693,3,FALSE)</f>
        <v>Self</v>
      </c>
      <c r="G172" s="4" t="str">
        <f t="shared" si="14"/>
        <v>NA</v>
      </c>
      <c r="H172" s="4" t="str">
        <f t="shared" si="3"/>
        <v/>
      </c>
      <c r="J172" s="4" t="str">
        <f>if($E172="Capstone","Capstone",if($E172="Holiday",""))</f>
        <v>Capstone</v>
      </c>
      <c r="K172" s="2">
        <v>60.0</v>
      </c>
      <c r="M172" s="2" t="s">
        <v>25</v>
      </c>
      <c r="N172" s="4"/>
      <c r="O172" s="4"/>
      <c r="P172" s="4"/>
      <c r="Q172" s="4"/>
    </row>
    <row r="173">
      <c r="A173" s="2">
        <v>7.0</v>
      </c>
      <c r="B173" s="3">
        <f t="shared" si="68"/>
        <v>46069</v>
      </c>
      <c r="C173" s="2" t="s">
        <v>17</v>
      </c>
      <c r="D173" s="2" t="s">
        <v>31</v>
      </c>
      <c r="E173" s="2" t="s">
        <v>127</v>
      </c>
      <c r="F173" s="4" t="str">
        <f>VLOOKUP($E173,Instructors!$A$2:$C693,3,FALSE)</f>
        <v>&lt;5</v>
      </c>
      <c r="G173" s="4" t="str">
        <f t="shared" si="14"/>
        <v/>
      </c>
      <c r="H173" s="4" t="str">
        <f t="shared" si="3"/>
        <v/>
      </c>
      <c r="I173" s="2" t="s">
        <v>203</v>
      </c>
      <c r="J173" s="2" t="s">
        <v>36</v>
      </c>
      <c r="K173" s="2">
        <v>120.0</v>
      </c>
      <c r="M173" s="2" t="s">
        <v>153</v>
      </c>
      <c r="N173" s="2" t="s">
        <v>52</v>
      </c>
      <c r="O173" s="2" t="s">
        <v>68</v>
      </c>
      <c r="P173" s="2" t="s">
        <v>104</v>
      </c>
      <c r="Q173" s="2" t="s">
        <v>63</v>
      </c>
    </row>
    <row r="174">
      <c r="A174" s="2">
        <v>7.0</v>
      </c>
      <c r="B174" s="3">
        <f t="shared" ref="B174:B177" si="69">B170+1</f>
        <v>46070</v>
      </c>
      <c r="C174" s="2" t="s">
        <v>33</v>
      </c>
      <c r="D174" s="2" t="s">
        <v>18</v>
      </c>
      <c r="E174" s="2" t="s">
        <v>115</v>
      </c>
      <c r="F174" s="4" t="str">
        <f>VLOOKUP($E174,Instructors!$A$2:$C693,3,FALSE)</f>
        <v>&gt;20</v>
      </c>
      <c r="G174" s="4" t="str">
        <f t="shared" si="14"/>
        <v/>
      </c>
      <c r="H174" s="4" t="str">
        <f t="shared" si="3"/>
        <v/>
      </c>
      <c r="I174" s="2" t="s">
        <v>205</v>
      </c>
      <c r="J174" s="2" t="s">
        <v>141</v>
      </c>
      <c r="K174" s="2">
        <v>120.0</v>
      </c>
      <c r="M174" s="2" t="s">
        <v>142</v>
      </c>
      <c r="N174" s="4"/>
      <c r="O174" s="4"/>
      <c r="P174" s="4"/>
      <c r="Q174" s="4"/>
    </row>
    <row r="175">
      <c r="A175" s="2">
        <v>7.0</v>
      </c>
      <c r="B175" s="3">
        <f t="shared" si="69"/>
        <v>46070</v>
      </c>
      <c r="C175" s="2" t="s">
        <v>33</v>
      </c>
      <c r="D175" s="2" t="s">
        <v>24</v>
      </c>
      <c r="E175" s="2" t="s">
        <v>206</v>
      </c>
      <c r="F175" s="4" t="str">
        <f>VLOOKUP($E175,Instructors!$A$2:$C693,3,FALSE)</f>
        <v>&gt;30</v>
      </c>
      <c r="G175" s="4" t="str">
        <f t="shared" si="14"/>
        <v/>
      </c>
      <c r="H175" s="4" t="str">
        <f t="shared" si="3"/>
        <v/>
      </c>
      <c r="I175" s="2" t="s">
        <v>207</v>
      </c>
      <c r="J175" s="2" t="s">
        <v>30</v>
      </c>
      <c r="K175" s="2">
        <v>120.0</v>
      </c>
      <c r="M175" s="2" t="s">
        <v>142</v>
      </c>
      <c r="N175" s="2" t="s">
        <v>120</v>
      </c>
      <c r="O175" s="2" t="s">
        <v>118</v>
      </c>
      <c r="P175" s="4"/>
      <c r="Q175" s="4"/>
    </row>
    <row r="176">
      <c r="A176" s="2">
        <v>7.0</v>
      </c>
      <c r="B176" s="3">
        <f t="shared" si="69"/>
        <v>46070</v>
      </c>
      <c r="C176" s="2" t="s">
        <v>33</v>
      </c>
      <c r="D176" s="2" t="s">
        <v>29</v>
      </c>
      <c r="E176" s="2" t="s">
        <v>115</v>
      </c>
      <c r="F176" s="4" t="str">
        <f>VLOOKUP($E176,Instructors!$A$2:$C693,3,FALSE)</f>
        <v>&gt;20</v>
      </c>
      <c r="G176" s="4" t="str">
        <f t="shared" si="14"/>
        <v/>
      </c>
      <c r="H176" s="4" t="str">
        <f t="shared" si="3"/>
        <v/>
      </c>
      <c r="I176" s="2" t="s">
        <v>205</v>
      </c>
      <c r="J176" s="2" t="s">
        <v>141</v>
      </c>
      <c r="K176" s="2">
        <v>120.0</v>
      </c>
      <c r="M176" s="2" t="s">
        <v>142</v>
      </c>
      <c r="N176" s="2" t="s">
        <v>23</v>
      </c>
      <c r="O176" s="2" t="s">
        <v>120</v>
      </c>
      <c r="P176" s="4"/>
      <c r="Q176" s="4"/>
    </row>
    <row r="177">
      <c r="A177" s="2">
        <v>7.0</v>
      </c>
      <c r="B177" s="3">
        <f t="shared" si="69"/>
        <v>46070</v>
      </c>
      <c r="C177" s="2" t="s">
        <v>33</v>
      </c>
      <c r="D177" s="2" t="s">
        <v>31</v>
      </c>
      <c r="E177" s="2" t="s">
        <v>25</v>
      </c>
      <c r="F177" s="4" t="str">
        <f>VLOOKUP($E177,Instructors!$A$2:$C693,3,FALSE)</f>
        <v>Self</v>
      </c>
      <c r="G177" s="4" t="str">
        <f t="shared" si="14"/>
        <v>NA</v>
      </c>
      <c r="H177" s="4" t="str">
        <f t="shared" si="3"/>
        <v/>
      </c>
      <c r="J177" s="4" t="str">
        <f>if($E177="Capstone","Capstone",if($E177="Holiday",""))</f>
        <v>Capstone</v>
      </c>
      <c r="K177" s="2">
        <v>90.0</v>
      </c>
      <c r="M177" s="2" t="s">
        <v>25</v>
      </c>
      <c r="N177" s="4"/>
      <c r="O177" s="4"/>
      <c r="P177" s="4"/>
      <c r="Q177" s="4"/>
    </row>
    <row r="178">
      <c r="A178" s="2">
        <v>7.0</v>
      </c>
      <c r="B178" s="3">
        <f t="shared" ref="B178:B181" si="70">B170+2</f>
        <v>46071</v>
      </c>
      <c r="C178" s="2" t="s">
        <v>45</v>
      </c>
      <c r="D178" s="2" t="s">
        <v>18</v>
      </c>
      <c r="E178" s="2" t="s">
        <v>165</v>
      </c>
      <c r="F178" s="4" t="str">
        <f>VLOOKUP($E178,Instructors!$A$2:$C693,3,FALSE)</f>
        <v>&gt;30</v>
      </c>
      <c r="G178" s="4" t="str">
        <f t="shared" si="14"/>
        <v/>
      </c>
      <c r="H178" s="4" t="str">
        <f t="shared" si="3"/>
        <v/>
      </c>
      <c r="I178" s="2" t="s">
        <v>208</v>
      </c>
      <c r="J178" s="2" t="s">
        <v>21</v>
      </c>
      <c r="K178" s="2">
        <v>90.0</v>
      </c>
      <c r="M178" s="2" t="s">
        <v>22</v>
      </c>
      <c r="N178" s="2" t="s">
        <v>65</v>
      </c>
      <c r="O178" s="2" t="s">
        <v>209</v>
      </c>
      <c r="P178" s="2" t="s">
        <v>81</v>
      </c>
      <c r="Q178" s="2" t="s">
        <v>82</v>
      </c>
    </row>
    <row r="179">
      <c r="A179" s="2">
        <v>7.0</v>
      </c>
      <c r="B179" s="3">
        <f t="shared" si="70"/>
        <v>46071</v>
      </c>
      <c r="C179" s="2" t="s">
        <v>45</v>
      </c>
      <c r="D179" s="2" t="s">
        <v>24</v>
      </c>
      <c r="E179" s="2" t="s">
        <v>25</v>
      </c>
      <c r="F179" s="4" t="str">
        <f>VLOOKUP($E179,Instructors!$A$2:$C693,3,FALSE)</f>
        <v>Self</v>
      </c>
      <c r="G179" s="4" t="str">
        <f t="shared" si="14"/>
        <v>NA</v>
      </c>
      <c r="H179" s="4" t="str">
        <f t="shared" si="3"/>
        <v/>
      </c>
      <c r="J179" s="4" t="str">
        <f>if($E179="Capstone","Capstone",if($E179="Holiday",""))</f>
        <v>Capstone</v>
      </c>
      <c r="K179" s="2">
        <v>120.0</v>
      </c>
      <c r="M179" s="2" t="s">
        <v>25</v>
      </c>
      <c r="N179" s="4"/>
      <c r="O179" s="4"/>
      <c r="P179" s="4"/>
      <c r="Q179" s="4"/>
    </row>
    <row r="180">
      <c r="A180" s="2">
        <v>7.0</v>
      </c>
      <c r="B180" s="3">
        <f t="shared" si="70"/>
        <v>46071</v>
      </c>
      <c r="C180" s="2" t="s">
        <v>45</v>
      </c>
      <c r="D180" s="2" t="s">
        <v>29</v>
      </c>
      <c r="E180" s="2" t="s">
        <v>165</v>
      </c>
      <c r="F180" s="4" t="str">
        <f>VLOOKUP($E180,Instructors!$A$2:$C693,3,FALSE)</f>
        <v>&gt;30</v>
      </c>
      <c r="G180" s="4" t="str">
        <f t="shared" si="14"/>
        <v/>
      </c>
      <c r="H180" s="4" t="str">
        <f t="shared" si="3"/>
        <v/>
      </c>
      <c r="I180" s="2" t="s">
        <v>210</v>
      </c>
      <c r="J180" s="2" t="s">
        <v>21</v>
      </c>
      <c r="K180" s="2">
        <v>60.0</v>
      </c>
      <c r="M180" s="2" t="s">
        <v>22</v>
      </c>
      <c r="N180" s="2" t="s">
        <v>107</v>
      </c>
      <c r="O180" s="2" t="s">
        <v>211</v>
      </c>
      <c r="P180" s="2" t="s">
        <v>212</v>
      </c>
      <c r="Q180" s="2" t="s">
        <v>97</v>
      </c>
    </row>
    <row r="181">
      <c r="A181" s="2">
        <v>7.0</v>
      </c>
      <c r="B181" s="3">
        <f t="shared" si="70"/>
        <v>46071</v>
      </c>
      <c r="C181" s="2" t="s">
        <v>45</v>
      </c>
      <c r="D181" s="2" t="s">
        <v>31</v>
      </c>
      <c r="E181" s="2" t="s">
        <v>127</v>
      </c>
      <c r="F181" s="4" t="str">
        <f>VLOOKUP($E181,Instructors!$A$2:$C693,3,FALSE)</f>
        <v>&lt;5</v>
      </c>
      <c r="G181" s="4" t="str">
        <f t="shared" si="14"/>
        <v/>
      </c>
      <c r="H181" s="4" t="str">
        <f t="shared" si="3"/>
        <v/>
      </c>
      <c r="I181" s="2" t="s">
        <v>213</v>
      </c>
      <c r="J181" s="2" t="s">
        <v>36</v>
      </c>
      <c r="K181" s="2">
        <v>90.0</v>
      </c>
      <c r="M181" s="2" t="s">
        <v>25</v>
      </c>
      <c r="N181" s="2" t="s">
        <v>68</v>
      </c>
      <c r="O181" s="2" t="s">
        <v>63</v>
      </c>
      <c r="P181" s="2" t="s">
        <v>39</v>
      </c>
      <c r="Q181" s="2" t="s">
        <v>214</v>
      </c>
    </row>
    <row r="182">
      <c r="A182" s="2">
        <v>7.0</v>
      </c>
      <c r="B182" s="3">
        <f t="shared" ref="B182:B185" si="71">B178+1</f>
        <v>46072</v>
      </c>
      <c r="C182" s="2" t="s">
        <v>57</v>
      </c>
      <c r="D182" s="2" t="s">
        <v>18</v>
      </c>
      <c r="E182" s="2" t="s">
        <v>127</v>
      </c>
      <c r="F182" s="4" t="str">
        <f>VLOOKUP($E182,Instructors!$A$2:$C693,3,FALSE)</f>
        <v>&lt;5</v>
      </c>
      <c r="G182" s="4" t="str">
        <f t="shared" si="14"/>
        <v/>
      </c>
      <c r="H182" s="4" t="str">
        <f t="shared" si="3"/>
        <v/>
      </c>
      <c r="I182" s="2" t="s">
        <v>213</v>
      </c>
      <c r="J182" s="2" t="s">
        <v>36</v>
      </c>
      <c r="K182" s="2">
        <v>90.0</v>
      </c>
      <c r="M182" s="2" t="s">
        <v>25</v>
      </c>
      <c r="N182" s="2" t="s">
        <v>104</v>
      </c>
      <c r="O182" s="2" t="s">
        <v>215</v>
      </c>
      <c r="P182" s="2" t="s">
        <v>216</v>
      </c>
      <c r="Q182" s="4"/>
    </row>
    <row r="183">
      <c r="A183" s="2">
        <v>7.0</v>
      </c>
      <c r="B183" s="3">
        <f t="shared" si="71"/>
        <v>46072</v>
      </c>
      <c r="C183" s="2" t="s">
        <v>57</v>
      </c>
      <c r="D183" s="2" t="s">
        <v>24</v>
      </c>
      <c r="E183" s="2" t="s">
        <v>184</v>
      </c>
      <c r="F183" s="4" t="str">
        <f>VLOOKUP($E183,Instructors!$A$2:$C693,3,FALSE)</f>
        <v>&gt;40</v>
      </c>
      <c r="G183" s="4" t="str">
        <f t="shared" si="14"/>
        <v/>
      </c>
      <c r="H183" s="4" t="str">
        <f t="shared" si="3"/>
        <v/>
      </c>
      <c r="I183" s="2" t="s">
        <v>217</v>
      </c>
      <c r="J183" s="2" t="s">
        <v>141</v>
      </c>
      <c r="K183" s="2">
        <v>120.0</v>
      </c>
      <c r="M183" s="2" t="s">
        <v>22</v>
      </c>
      <c r="N183" s="4"/>
      <c r="O183" s="4"/>
      <c r="P183" s="4"/>
      <c r="Q183" s="4"/>
    </row>
    <row r="184">
      <c r="A184" s="2">
        <v>7.0</v>
      </c>
      <c r="B184" s="3">
        <f t="shared" si="71"/>
        <v>46072</v>
      </c>
      <c r="C184" s="2" t="s">
        <v>57</v>
      </c>
      <c r="D184" s="2" t="s">
        <v>29</v>
      </c>
      <c r="E184" s="2" t="s">
        <v>25</v>
      </c>
      <c r="F184" s="4" t="str">
        <f>VLOOKUP($E184,Instructors!$A$2:$C693,3,FALSE)</f>
        <v>Self</v>
      </c>
      <c r="G184" s="4" t="str">
        <f t="shared" si="14"/>
        <v>NA</v>
      </c>
      <c r="H184" s="4" t="str">
        <f t="shared" si="3"/>
        <v/>
      </c>
      <c r="J184" s="4" t="str">
        <f t="shared" ref="J184:J198" si="72">if($E184="Capstone","Capstone",if($E184="Holiday",""))</f>
        <v>Capstone</v>
      </c>
      <c r="K184" s="2">
        <v>60.0</v>
      </c>
      <c r="M184" s="4" t="str">
        <f t="shared" ref="M184:M197" si="73">if($E184="Holiday","Holiday",if($E184="Capstone","Capstone"))</f>
        <v>Capstone</v>
      </c>
      <c r="N184" s="4"/>
      <c r="O184" s="4"/>
      <c r="P184" s="4"/>
      <c r="Q184" s="4"/>
    </row>
    <row r="185">
      <c r="A185" s="2">
        <v>7.0</v>
      </c>
      <c r="B185" s="3">
        <f t="shared" si="71"/>
        <v>46072</v>
      </c>
      <c r="C185" s="2" t="s">
        <v>57</v>
      </c>
      <c r="D185" s="2" t="s">
        <v>31</v>
      </c>
      <c r="E185" s="2" t="s">
        <v>25</v>
      </c>
      <c r="F185" s="4" t="str">
        <f>VLOOKUP($E185,Instructors!$A$2:$C693,3,FALSE)</f>
        <v>Self</v>
      </c>
      <c r="G185" s="4" t="str">
        <f t="shared" si="14"/>
        <v>NA</v>
      </c>
      <c r="H185" s="4" t="str">
        <f t="shared" si="3"/>
        <v/>
      </c>
      <c r="J185" s="4" t="str">
        <f t="shared" si="72"/>
        <v>Capstone</v>
      </c>
      <c r="K185" s="2">
        <v>90.0</v>
      </c>
      <c r="M185" s="4" t="str">
        <f t="shared" si="73"/>
        <v>Capstone</v>
      </c>
      <c r="N185" s="4"/>
      <c r="O185" s="4"/>
      <c r="P185" s="4"/>
      <c r="Q185" s="4"/>
    </row>
    <row r="186">
      <c r="A186" s="2">
        <v>7.0</v>
      </c>
      <c r="B186" s="3">
        <f t="shared" ref="B186:B189" si="74">B178+2</f>
        <v>46073</v>
      </c>
      <c r="C186" s="2" t="s">
        <v>73</v>
      </c>
      <c r="D186" s="2" t="s">
        <v>18</v>
      </c>
      <c r="E186" s="2" t="s">
        <v>25</v>
      </c>
      <c r="F186" s="4" t="str">
        <f>VLOOKUP($E186,Instructors!$A$2:$C693,3,FALSE)</f>
        <v>Self</v>
      </c>
      <c r="G186" s="4" t="str">
        <f t="shared" si="14"/>
        <v>NA</v>
      </c>
      <c r="H186" s="4" t="str">
        <f t="shared" si="3"/>
        <v/>
      </c>
      <c r="J186" s="4" t="str">
        <f t="shared" si="72"/>
        <v>Capstone</v>
      </c>
      <c r="K186" s="2">
        <v>90.0</v>
      </c>
      <c r="M186" s="4" t="str">
        <f t="shared" si="73"/>
        <v>Capstone</v>
      </c>
      <c r="N186" s="4"/>
      <c r="O186" s="4"/>
      <c r="P186" s="4"/>
      <c r="Q186" s="4"/>
    </row>
    <row r="187">
      <c r="A187" s="2">
        <v>7.0</v>
      </c>
      <c r="B187" s="3">
        <f t="shared" si="74"/>
        <v>46073</v>
      </c>
      <c r="C187" s="2" t="s">
        <v>73</v>
      </c>
      <c r="D187" s="2" t="s">
        <v>24</v>
      </c>
      <c r="E187" s="2" t="s">
        <v>25</v>
      </c>
      <c r="F187" s="4" t="str">
        <f>VLOOKUP($E187,Instructors!$A$2:$C693,3,FALSE)</f>
        <v>Self</v>
      </c>
      <c r="G187" s="4" t="str">
        <f t="shared" si="14"/>
        <v>NA</v>
      </c>
      <c r="H187" s="4" t="str">
        <f t="shared" si="3"/>
        <v/>
      </c>
      <c r="J187" s="4" t="str">
        <f t="shared" si="72"/>
        <v>Capstone</v>
      </c>
      <c r="K187" s="2">
        <v>90.0</v>
      </c>
      <c r="M187" s="4" t="str">
        <f t="shared" si="73"/>
        <v>Capstone</v>
      </c>
      <c r="N187" s="4"/>
      <c r="O187" s="4"/>
      <c r="P187" s="4"/>
      <c r="Q187" s="4"/>
    </row>
    <row r="188">
      <c r="A188" s="2">
        <v>7.0</v>
      </c>
      <c r="B188" s="3">
        <f t="shared" si="74"/>
        <v>46073</v>
      </c>
      <c r="C188" s="2" t="s">
        <v>73</v>
      </c>
      <c r="D188" s="2" t="s">
        <v>29</v>
      </c>
      <c r="E188" s="2" t="s">
        <v>25</v>
      </c>
      <c r="F188" s="4" t="str">
        <f>VLOOKUP($E188,Instructors!$A$2:$C693,3,FALSE)</f>
        <v>Self</v>
      </c>
      <c r="G188" s="4" t="str">
        <f t="shared" si="14"/>
        <v>NA</v>
      </c>
      <c r="H188" s="4" t="str">
        <f t="shared" si="3"/>
        <v/>
      </c>
      <c r="J188" s="4" t="str">
        <f t="shared" si="72"/>
        <v>Capstone</v>
      </c>
      <c r="K188" s="2">
        <v>90.0</v>
      </c>
      <c r="M188" s="4" t="str">
        <f t="shared" si="73"/>
        <v>Capstone</v>
      </c>
      <c r="N188" s="4"/>
      <c r="O188" s="4"/>
      <c r="P188" s="4"/>
      <c r="Q188" s="4"/>
    </row>
    <row r="189">
      <c r="A189" s="2">
        <v>7.0</v>
      </c>
      <c r="B189" s="3">
        <f t="shared" si="74"/>
        <v>46073</v>
      </c>
      <c r="C189" s="2" t="s">
        <v>73</v>
      </c>
      <c r="D189" s="2" t="s">
        <v>31</v>
      </c>
      <c r="E189" s="2" t="s">
        <v>25</v>
      </c>
      <c r="F189" s="4" t="str">
        <f>VLOOKUP($E189,Instructors!$A$2:$C693,3,FALSE)</f>
        <v>Self</v>
      </c>
      <c r="G189" s="4" t="str">
        <f t="shared" si="14"/>
        <v>NA</v>
      </c>
      <c r="H189" s="4" t="str">
        <f t="shared" si="3"/>
        <v/>
      </c>
      <c r="J189" s="4" t="str">
        <f t="shared" si="72"/>
        <v>Capstone</v>
      </c>
      <c r="K189" s="2">
        <v>90.0</v>
      </c>
      <c r="M189" s="4" t="str">
        <f t="shared" si="73"/>
        <v>Capstone</v>
      </c>
      <c r="N189" s="4"/>
      <c r="O189" s="4"/>
      <c r="P189" s="4"/>
      <c r="Q189" s="4"/>
    </row>
    <row r="190">
      <c r="A190" s="2">
        <v>7.0</v>
      </c>
      <c r="B190" s="3">
        <f t="shared" ref="B190:B193" si="75">B186+1</f>
        <v>46074</v>
      </c>
      <c r="C190" s="2" t="s">
        <v>86</v>
      </c>
      <c r="D190" s="2" t="s">
        <v>18</v>
      </c>
      <c r="E190" s="2" t="s">
        <v>92</v>
      </c>
      <c r="F190" s="4" t="str">
        <f>VLOOKUP($E190,Instructors!$A$2:$C693,3,FALSE)</f>
        <v/>
      </c>
      <c r="G190" s="4" t="str">
        <f t="shared" si="14"/>
        <v>NA</v>
      </c>
      <c r="H190" s="4" t="str">
        <f t="shared" si="3"/>
        <v>NA</v>
      </c>
      <c r="J190" s="4" t="str">
        <f t="shared" si="72"/>
        <v/>
      </c>
      <c r="K190" s="2" t="str">
        <f t="shared" ref="K190:K197" si="76">if($E190="Holiday","NA")</f>
        <v>NA</v>
      </c>
      <c r="M190" s="4" t="str">
        <f t="shared" si="73"/>
        <v>Holiday</v>
      </c>
      <c r="N190" s="4"/>
      <c r="O190" s="4"/>
      <c r="P190" s="4"/>
      <c r="Q190" s="4"/>
    </row>
    <row r="191">
      <c r="A191" s="2">
        <v>7.0</v>
      </c>
      <c r="B191" s="3">
        <f t="shared" si="75"/>
        <v>46074</v>
      </c>
      <c r="C191" s="2" t="s">
        <v>86</v>
      </c>
      <c r="D191" s="2" t="s">
        <v>24</v>
      </c>
      <c r="E191" s="2" t="s">
        <v>92</v>
      </c>
      <c r="F191" s="4" t="str">
        <f>VLOOKUP($E191,Instructors!$A$2:$C693,3,FALSE)</f>
        <v/>
      </c>
      <c r="G191" s="4" t="str">
        <f t="shared" si="14"/>
        <v>NA</v>
      </c>
      <c r="H191" s="4" t="str">
        <f t="shared" si="3"/>
        <v>NA</v>
      </c>
      <c r="J191" s="4" t="str">
        <f t="shared" si="72"/>
        <v/>
      </c>
      <c r="K191" s="2" t="str">
        <f t="shared" si="76"/>
        <v>NA</v>
      </c>
      <c r="M191" s="4" t="str">
        <f t="shared" si="73"/>
        <v>Holiday</v>
      </c>
      <c r="N191" s="4"/>
      <c r="O191" s="4"/>
      <c r="P191" s="4"/>
      <c r="Q191" s="4"/>
    </row>
    <row r="192">
      <c r="A192" s="2">
        <v>7.0</v>
      </c>
      <c r="B192" s="3">
        <f t="shared" si="75"/>
        <v>46074</v>
      </c>
      <c r="C192" s="2" t="s">
        <v>86</v>
      </c>
      <c r="D192" s="2" t="s">
        <v>29</v>
      </c>
      <c r="E192" s="2" t="s">
        <v>92</v>
      </c>
      <c r="F192" s="4" t="str">
        <f>VLOOKUP($E192,Instructors!$A$2:$C693,3,FALSE)</f>
        <v/>
      </c>
      <c r="G192" s="4" t="str">
        <f t="shared" si="14"/>
        <v>NA</v>
      </c>
      <c r="H192" s="4" t="str">
        <f t="shared" si="3"/>
        <v>NA</v>
      </c>
      <c r="J192" s="4" t="str">
        <f t="shared" si="72"/>
        <v/>
      </c>
      <c r="K192" s="2" t="str">
        <f t="shared" si="76"/>
        <v>NA</v>
      </c>
      <c r="M192" s="4" t="str">
        <f t="shared" si="73"/>
        <v>Holiday</v>
      </c>
      <c r="N192" s="4"/>
      <c r="O192" s="4"/>
      <c r="P192" s="4"/>
      <c r="Q192" s="4"/>
    </row>
    <row r="193">
      <c r="A193" s="2">
        <v>7.0</v>
      </c>
      <c r="B193" s="3">
        <f t="shared" si="75"/>
        <v>46074</v>
      </c>
      <c r="C193" s="2" t="s">
        <v>86</v>
      </c>
      <c r="D193" s="2" t="s">
        <v>31</v>
      </c>
      <c r="E193" s="2" t="s">
        <v>92</v>
      </c>
      <c r="F193" s="4" t="str">
        <f>VLOOKUP($E193,Instructors!$A$2:$C693,3,FALSE)</f>
        <v/>
      </c>
      <c r="G193" s="4" t="str">
        <f t="shared" si="14"/>
        <v>NA</v>
      </c>
      <c r="H193" s="4" t="str">
        <f t="shared" si="3"/>
        <v>NA</v>
      </c>
      <c r="J193" s="4" t="str">
        <f t="shared" si="72"/>
        <v/>
      </c>
      <c r="K193" s="2" t="str">
        <f t="shared" si="76"/>
        <v>NA</v>
      </c>
      <c r="M193" s="4" t="str">
        <f t="shared" si="73"/>
        <v>Holiday</v>
      </c>
      <c r="N193" s="4"/>
      <c r="O193" s="4"/>
      <c r="P193" s="4"/>
      <c r="Q193" s="4"/>
    </row>
    <row r="194">
      <c r="A194" s="2">
        <v>7.0</v>
      </c>
      <c r="B194" s="3">
        <f t="shared" ref="B194:B197" si="77">B186+2</f>
        <v>46075</v>
      </c>
      <c r="C194" s="2" t="s">
        <v>93</v>
      </c>
      <c r="D194" s="2" t="s">
        <v>18</v>
      </c>
      <c r="E194" s="2" t="s">
        <v>92</v>
      </c>
      <c r="F194" s="4" t="str">
        <f>VLOOKUP($E194,Instructors!$A$2:$C693,3,FALSE)</f>
        <v/>
      </c>
      <c r="G194" s="4" t="str">
        <f t="shared" si="14"/>
        <v>NA</v>
      </c>
      <c r="H194" s="4" t="str">
        <f t="shared" si="3"/>
        <v>NA</v>
      </c>
      <c r="J194" s="4" t="str">
        <f t="shared" si="72"/>
        <v/>
      </c>
      <c r="K194" s="2" t="str">
        <f t="shared" si="76"/>
        <v>NA</v>
      </c>
      <c r="M194" s="4" t="str">
        <f t="shared" si="73"/>
        <v>Holiday</v>
      </c>
      <c r="N194" s="4"/>
      <c r="O194" s="4"/>
      <c r="P194" s="4"/>
      <c r="Q194" s="4"/>
    </row>
    <row r="195">
      <c r="A195" s="2">
        <v>7.0</v>
      </c>
      <c r="B195" s="3">
        <f t="shared" si="77"/>
        <v>46075</v>
      </c>
      <c r="C195" s="2" t="s">
        <v>93</v>
      </c>
      <c r="D195" s="2" t="s">
        <v>24</v>
      </c>
      <c r="E195" s="2" t="s">
        <v>92</v>
      </c>
      <c r="F195" s="4" t="str">
        <f>VLOOKUP($E195,Instructors!$A$2:$C693,3,FALSE)</f>
        <v/>
      </c>
      <c r="G195" s="4" t="str">
        <f t="shared" si="14"/>
        <v>NA</v>
      </c>
      <c r="H195" s="4" t="str">
        <f t="shared" si="3"/>
        <v>NA</v>
      </c>
      <c r="J195" s="4" t="str">
        <f t="shared" si="72"/>
        <v/>
      </c>
      <c r="K195" s="2" t="str">
        <f t="shared" si="76"/>
        <v>NA</v>
      </c>
      <c r="M195" s="4" t="str">
        <f t="shared" si="73"/>
        <v>Holiday</v>
      </c>
      <c r="N195" s="4"/>
      <c r="O195" s="4"/>
      <c r="P195" s="4"/>
      <c r="Q195" s="4"/>
    </row>
    <row r="196">
      <c r="A196" s="2">
        <v>7.0</v>
      </c>
      <c r="B196" s="3">
        <f t="shared" si="77"/>
        <v>46075</v>
      </c>
      <c r="C196" s="2" t="s">
        <v>93</v>
      </c>
      <c r="D196" s="2" t="s">
        <v>29</v>
      </c>
      <c r="E196" s="2" t="s">
        <v>92</v>
      </c>
      <c r="F196" s="4" t="str">
        <f>VLOOKUP($E196,Instructors!$A$2:$C693,3,FALSE)</f>
        <v/>
      </c>
      <c r="G196" s="4" t="str">
        <f t="shared" si="14"/>
        <v>NA</v>
      </c>
      <c r="H196" s="4" t="str">
        <f t="shared" si="3"/>
        <v>NA</v>
      </c>
      <c r="J196" s="4" t="str">
        <f t="shared" si="72"/>
        <v/>
      </c>
      <c r="K196" s="2" t="str">
        <f t="shared" si="76"/>
        <v>NA</v>
      </c>
      <c r="M196" s="4" t="str">
        <f t="shared" si="73"/>
        <v>Holiday</v>
      </c>
      <c r="N196" s="4"/>
      <c r="O196" s="4"/>
      <c r="P196" s="4"/>
      <c r="Q196" s="4"/>
    </row>
    <row r="197">
      <c r="A197" s="2">
        <v>7.0</v>
      </c>
      <c r="B197" s="3">
        <f t="shared" si="77"/>
        <v>46075</v>
      </c>
      <c r="C197" s="2" t="s">
        <v>93</v>
      </c>
      <c r="D197" s="2" t="s">
        <v>31</v>
      </c>
      <c r="E197" s="2" t="s">
        <v>92</v>
      </c>
      <c r="F197" s="4" t="str">
        <f>VLOOKUP($E197,Instructors!$A$2:$C693,3,FALSE)</f>
        <v/>
      </c>
      <c r="G197" s="4" t="str">
        <f t="shared" si="14"/>
        <v>NA</v>
      </c>
      <c r="H197" s="4" t="str">
        <f t="shared" si="3"/>
        <v>NA</v>
      </c>
      <c r="J197" s="4" t="str">
        <f t="shared" si="72"/>
        <v/>
      </c>
      <c r="K197" s="2" t="str">
        <f t="shared" si="76"/>
        <v>NA</v>
      </c>
      <c r="M197" s="4" t="str">
        <f t="shared" si="73"/>
        <v>Holiday</v>
      </c>
      <c r="N197" s="4"/>
      <c r="O197" s="4"/>
      <c r="P197" s="4"/>
      <c r="Q197" s="4"/>
    </row>
    <row r="198">
      <c r="A198" s="2">
        <f t="shared" ref="A198:A693" si="78">A170+1</f>
        <v>8</v>
      </c>
      <c r="B198" s="3">
        <f t="shared" ref="B198:B201" si="79">B194+1</f>
        <v>46076</v>
      </c>
      <c r="C198" s="2" t="s">
        <v>17</v>
      </c>
      <c r="D198" s="2" t="s">
        <v>18</v>
      </c>
      <c r="E198" s="2" t="s">
        <v>25</v>
      </c>
      <c r="F198" s="4" t="str">
        <f>VLOOKUP($E198,Instructors!$A$2:$C693,3,FALSE)</f>
        <v>Self</v>
      </c>
      <c r="G198" s="4" t="str">
        <f t="shared" si="14"/>
        <v>NA</v>
      </c>
      <c r="H198" s="4" t="str">
        <f t="shared" si="3"/>
        <v/>
      </c>
      <c r="J198" s="4" t="str">
        <f t="shared" si="72"/>
        <v>Capstone</v>
      </c>
      <c r="K198" s="2">
        <v>90.0</v>
      </c>
      <c r="M198" s="2" t="s">
        <v>32</v>
      </c>
      <c r="N198" s="4"/>
      <c r="O198" s="4"/>
      <c r="P198" s="4"/>
      <c r="Q198" s="4"/>
    </row>
    <row r="199">
      <c r="A199" s="2">
        <f t="shared" si="78"/>
        <v>8</v>
      </c>
      <c r="B199" s="3">
        <f t="shared" si="79"/>
        <v>46076</v>
      </c>
      <c r="C199" s="2" t="s">
        <v>17</v>
      </c>
      <c r="D199" s="2" t="s">
        <v>24</v>
      </c>
      <c r="E199" s="2" t="s">
        <v>127</v>
      </c>
      <c r="F199" s="4" t="str">
        <f>VLOOKUP($E199,Instructors!$A$2:$C693,3,FALSE)</f>
        <v>&lt;5</v>
      </c>
      <c r="G199" s="4" t="str">
        <f t="shared" si="14"/>
        <v/>
      </c>
      <c r="H199" s="4" t="str">
        <f t="shared" si="3"/>
        <v/>
      </c>
      <c r="I199" s="2" t="s">
        <v>218</v>
      </c>
      <c r="J199" s="2" t="s">
        <v>36</v>
      </c>
      <c r="K199" s="2">
        <v>90.0</v>
      </c>
      <c r="M199" s="2" t="s">
        <v>129</v>
      </c>
      <c r="N199" s="2" t="s">
        <v>81</v>
      </c>
      <c r="O199" s="4"/>
      <c r="P199" s="4"/>
      <c r="Q199" s="4"/>
    </row>
    <row r="200">
      <c r="A200" s="2">
        <f t="shared" si="78"/>
        <v>8</v>
      </c>
      <c r="B200" s="3">
        <f t="shared" si="79"/>
        <v>46076</v>
      </c>
      <c r="C200" s="2" t="s">
        <v>17</v>
      </c>
      <c r="D200" s="2" t="s">
        <v>29</v>
      </c>
      <c r="E200" s="2" t="s">
        <v>127</v>
      </c>
      <c r="F200" s="4" t="str">
        <f>VLOOKUP($E200,Instructors!$A$2:$C693,3,FALSE)</f>
        <v>&lt;5</v>
      </c>
      <c r="G200" s="4" t="str">
        <f t="shared" si="14"/>
        <v/>
      </c>
      <c r="H200" s="4" t="str">
        <f t="shared" si="3"/>
        <v/>
      </c>
      <c r="I200" s="2" t="s">
        <v>219</v>
      </c>
      <c r="J200" s="2" t="s">
        <v>36</v>
      </c>
      <c r="K200" s="2">
        <v>90.0</v>
      </c>
      <c r="M200" s="2" t="s">
        <v>129</v>
      </c>
      <c r="N200" s="2" t="s">
        <v>111</v>
      </c>
      <c r="O200" s="2" t="s">
        <v>220</v>
      </c>
      <c r="P200" s="2" t="s">
        <v>51</v>
      </c>
      <c r="Q200" s="2" t="s">
        <v>80</v>
      </c>
    </row>
    <row r="201">
      <c r="A201" s="2">
        <f t="shared" si="78"/>
        <v>8</v>
      </c>
      <c r="B201" s="3">
        <f t="shared" si="79"/>
        <v>46076</v>
      </c>
      <c r="C201" s="2" t="s">
        <v>17</v>
      </c>
      <c r="D201" s="2" t="s">
        <v>31</v>
      </c>
      <c r="E201" s="2" t="s">
        <v>127</v>
      </c>
      <c r="F201" s="4" t="str">
        <f>VLOOKUP($E201,Instructors!$A$2:$C693,3,FALSE)</f>
        <v>&lt;5</v>
      </c>
      <c r="G201" s="4" t="str">
        <f t="shared" si="14"/>
        <v/>
      </c>
      <c r="H201" s="4" t="str">
        <f t="shared" si="3"/>
        <v/>
      </c>
      <c r="I201" s="2" t="s">
        <v>219</v>
      </c>
      <c r="J201" s="2" t="s">
        <v>36</v>
      </c>
      <c r="K201" s="2">
        <v>90.0</v>
      </c>
      <c r="M201" s="2" t="s">
        <v>129</v>
      </c>
      <c r="N201" s="2" t="s">
        <v>111</v>
      </c>
      <c r="O201" s="2" t="s">
        <v>39</v>
      </c>
      <c r="P201" s="2" t="s">
        <v>221</v>
      </c>
      <c r="Q201" s="4"/>
    </row>
    <row r="202">
      <c r="A202" s="2">
        <f t="shared" si="78"/>
        <v>8</v>
      </c>
      <c r="B202" s="3">
        <f t="shared" ref="B202:B205" si="80">B194+2</f>
        <v>46077</v>
      </c>
      <c r="C202" s="2" t="s">
        <v>33</v>
      </c>
      <c r="D202" s="2" t="s">
        <v>18</v>
      </c>
      <c r="E202" s="2" t="s">
        <v>165</v>
      </c>
      <c r="F202" s="4" t="str">
        <f>VLOOKUP($E202,Instructors!$A$2:$C693,3,FALSE)</f>
        <v>&gt;30</v>
      </c>
      <c r="G202" s="4" t="str">
        <f t="shared" si="14"/>
        <v/>
      </c>
      <c r="H202" s="4" t="str">
        <f t="shared" si="3"/>
        <v/>
      </c>
      <c r="I202" s="2" t="s">
        <v>222</v>
      </c>
      <c r="J202" s="2" t="s">
        <v>21</v>
      </c>
      <c r="K202" s="2">
        <v>90.0</v>
      </c>
      <c r="M202" s="2" t="s">
        <v>22</v>
      </c>
      <c r="N202" s="2" t="s">
        <v>223</v>
      </c>
      <c r="O202" s="2" t="s">
        <v>107</v>
      </c>
      <c r="P202" s="2" t="s">
        <v>224</v>
      </c>
      <c r="Q202" s="2" t="s">
        <v>155</v>
      </c>
    </row>
    <row r="203">
      <c r="A203" s="2">
        <f t="shared" si="78"/>
        <v>8</v>
      </c>
      <c r="B203" s="3">
        <f t="shared" si="80"/>
        <v>46077</v>
      </c>
      <c r="C203" s="2" t="s">
        <v>33</v>
      </c>
      <c r="D203" s="2" t="s">
        <v>24</v>
      </c>
      <c r="E203" s="2" t="s">
        <v>127</v>
      </c>
      <c r="F203" s="4" t="str">
        <f>VLOOKUP($E203,Instructors!$A$2:$C693,3,FALSE)</f>
        <v>&lt;5</v>
      </c>
      <c r="G203" s="4" t="str">
        <f t="shared" si="14"/>
        <v/>
      </c>
      <c r="H203" s="4" t="str">
        <f t="shared" si="3"/>
        <v/>
      </c>
      <c r="I203" s="2" t="s">
        <v>225</v>
      </c>
      <c r="J203" s="2" t="s">
        <v>36</v>
      </c>
      <c r="K203" s="2">
        <v>90.0</v>
      </c>
      <c r="M203" s="2" t="s">
        <v>153</v>
      </c>
      <c r="N203" s="2" t="s">
        <v>220</v>
      </c>
      <c r="O203" s="2" t="s">
        <v>53</v>
      </c>
      <c r="P203" s="2" t="s">
        <v>51</v>
      </c>
      <c r="Q203" s="2" t="s">
        <v>96</v>
      </c>
    </row>
    <row r="204">
      <c r="A204" s="2">
        <f t="shared" si="78"/>
        <v>8</v>
      </c>
      <c r="B204" s="3">
        <f t="shared" si="80"/>
        <v>46077</v>
      </c>
      <c r="C204" s="2" t="s">
        <v>33</v>
      </c>
      <c r="D204" s="2" t="s">
        <v>29</v>
      </c>
      <c r="E204" s="2" t="s">
        <v>25</v>
      </c>
      <c r="F204" s="4" t="str">
        <f>VLOOKUP($E204,Instructors!$A$2:$C693,3,FALSE)</f>
        <v>Self</v>
      </c>
      <c r="G204" s="4" t="str">
        <f t="shared" si="14"/>
        <v>NA</v>
      </c>
      <c r="H204" s="4" t="str">
        <f t="shared" si="3"/>
        <v/>
      </c>
      <c r="J204" s="4" t="str">
        <f>if($E204="Capstone","Capstone",if($E204="Holiday",""))</f>
        <v>Capstone</v>
      </c>
      <c r="K204" s="2">
        <v>90.0</v>
      </c>
      <c r="M204" s="4" t="str">
        <f>if($E204="Holiday","Holiday",if($E204="Capstone","Capstone"))</f>
        <v>Capstone</v>
      </c>
      <c r="N204" s="4"/>
      <c r="O204" s="4"/>
      <c r="P204" s="4"/>
      <c r="Q204" s="4"/>
    </row>
    <row r="205">
      <c r="A205" s="2">
        <f t="shared" si="78"/>
        <v>8</v>
      </c>
      <c r="B205" s="3">
        <f t="shared" si="80"/>
        <v>46077</v>
      </c>
      <c r="C205" s="2" t="s">
        <v>33</v>
      </c>
      <c r="D205" s="2" t="s">
        <v>31</v>
      </c>
      <c r="E205" s="2" t="s">
        <v>127</v>
      </c>
      <c r="F205" s="4" t="str">
        <f>VLOOKUP($E205,Instructors!$A$2:$C693,3,FALSE)</f>
        <v>&lt;5</v>
      </c>
      <c r="G205" s="4" t="str">
        <f t="shared" si="14"/>
        <v/>
      </c>
      <c r="H205" s="4" t="str">
        <f t="shared" si="3"/>
        <v/>
      </c>
      <c r="I205" s="2" t="s">
        <v>226</v>
      </c>
      <c r="J205" s="2" t="s">
        <v>36</v>
      </c>
      <c r="K205" s="2">
        <v>90.0</v>
      </c>
      <c r="M205" s="2" t="s">
        <v>153</v>
      </c>
      <c r="N205" s="2" t="s">
        <v>51</v>
      </c>
      <c r="O205" s="2" t="s">
        <v>220</v>
      </c>
      <c r="P205" s="2" t="s">
        <v>227</v>
      </c>
      <c r="Q205" s="2" t="s">
        <v>118</v>
      </c>
    </row>
    <row r="206">
      <c r="A206" s="2">
        <f t="shared" si="78"/>
        <v>8</v>
      </c>
      <c r="B206" s="3">
        <f t="shared" ref="B206:B209" si="81">B202+1</f>
        <v>46078</v>
      </c>
      <c r="C206" s="2" t="s">
        <v>45</v>
      </c>
      <c r="D206" s="2" t="s">
        <v>18</v>
      </c>
      <c r="E206" s="2" t="s">
        <v>19</v>
      </c>
      <c r="F206" s="4" t="str">
        <f>VLOOKUP($E206,Instructors!$A$2:$C693,3,FALSE)</f>
        <v>&gt;20</v>
      </c>
      <c r="G206" s="4" t="str">
        <f t="shared" si="14"/>
        <v/>
      </c>
      <c r="H206" s="4" t="str">
        <f t="shared" si="3"/>
        <v/>
      </c>
      <c r="I206" s="2" t="s">
        <v>228</v>
      </c>
      <c r="J206" s="2" t="s">
        <v>89</v>
      </c>
      <c r="K206" s="2">
        <v>120.0</v>
      </c>
      <c r="M206" s="2" t="s">
        <v>27</v>
      </c>
      <c r="N206" s="2" t="s">
        <v>90</v>
      </c>
      <c r="O206" s="2" t="s">
        <v>89</v>
      </c>
      <c r="P206" s="2" t="s">
        <v>229</v>
      </c>
      <c r="Q206" s="4"/>
    </row>
    <row r="207">
      <c r="A207" s="2">
        <f t="shared" si="78"/>
        <v>8</v>
      </c>
      <c r="B207" s="3">
        <f t="shared" si="81"/>
        <v>46078</v>
      </c>
      <c r="C207" s="2" t="s">
        <v>45</v>
      </c>
      <c r="D207" s="2" t="s">
        <v>24</v>
      </c>
      <c r="E207" s="2" t="s">
        <v>25</v>
      </c>
      <c r="F207" s="4" t="str">
        <f>VLOOKUP($E207,Instructors!$A$2:$C693,3,FALSE)</f>
        <v>Self</v>
      </c>
      <c r="G207" s="4" t="str">
        <f t="shared" si="14"/>
        <v>NA</v>
      </c>
      <c r="H207" s="4" t="str">
        <f t="shared" si="3"/>
        <v/>
      </c>
      <c r="J207" s="4" t="str">
        <f>if($E207="Capstone","Capstone",if($E207="Holiday",""))</f>
        <v>Capstone</v>
      </c>
      <c r="K207" s="2">
        <v>60.0</v>
      </c>
      <c r="M207" s="2" t="s">
        <v>25</v>
      </c>
      <c r="N207" s="4"/>
      <c r="O207" s="4"/>
      <c r="P207" s="4"/>
      <c r="Q207" s="4"/>
    </row>
    <row r="208">
      <c r="A208" s="2">
        <f t="shared" si="78"/>
        <v>8</v>
      </c>
      <c r="B208" s="3">
        <f t="shared" si="81"/>
        <v>46078</v>
      </c>
      <c r="C208" s="2" t="s">
        <v>45</v>
      </c>
      <c r="D208" s="2" t="s">
        <v>29</v>
      </c>
      <c r="E208" s="2" t="s">
        <v>156</v>
      </c>
      <c r="F208" s="4" t="str">
        <f>VLOOKUP($E208,Instructors!$A$2:$C693,3,FALSE)</f>
        <v>&gt;20</v>
      </c>
      <c r="G208" s="4" t="str">
        <f t="shared" si="14"/>
        <v/>
      </c>
      <c r="H208" s="4" t="str">
        <f t="shared" si="3"/>
        <v/>
      </c>
      <c r="I208" s="2" t="s">
        <v>230</v>
      </c>
      <c r="J208" s="2" t="s">
        <v>141</v>
      </c>
      <c r="K208" s="2">
        <v>90.0</v>
      </c>
      <c r="M208" s="2" t="s">
        <v>22</v>
      </c>
      <c r="N208" s="2" t="s">
        <v>44</v>
      </c>
      <c r="O208" s="2" t="s">
        <v>76</v>
      </c>
      <c r="P208" s="4"/>
      <c r="Q208" s="4"/>
    </row>
    <row r="209">
      <c r="A209" s="2">
        <f t="shared" si="78"/>
        <v>8</v>
      </c>
      <c r="B209" s="3">
        <f t="shared" si="81"/>
        <v>46078</v>
      </c>
      <c r="C209" s="2" t="s">
        <v>45</v>
      </c>
      <c r="D209" s="2" t="s">
        <v>31</v>
      </c>
      <c r="E209" s="2" t="s">
        <v>156</v>
      </c>
      <c r="F209" s="4" t="str">
        <f>VLOOKUP($E209,Instructors!$A$2:$C693,3,FALSE)</f>
        <v>&gt;20</v>
      </c>
      <c r="G209" s="4" t="str">
        <f t="shared" si="14"/>
        <v/>
      </c>
      <c r="H209" s="4" t="str">
        <f t="shared" si="3"/>
        <v/>
      </c>
      <c r="I209" s="2" t="s">
        <v>230</v>
      </c>
      <c r="J209" s="2" t="s">
        <v>141</v>
      </c>
      <c r="K209" s="2">
        <v>90.0</v>
      </c>
      <c r="M209" s="2" t="s">
        <v>22</v>
      </c>
      <c r="N209" s="2" t="s">
        <v>76</v>
      </c>
      <c r="O209" s="2" t="s">
        <v>231</v>
      </c>
      <c r="P209" s="4"/>
      <c r="Q209" s="4"/>
    </row>
    <row r="210">
      <c r="A210" s="2">
        <f t="shared" si="78"/>
        <v>8</v>
      </c>
      <c r="B210" s="3">
        <f t="shared" ref="B210:B213" si="82">B202+2</f>
        <v>46079</v>
      </c>
      <c r="C210" s="2" t="s">
        <v>57</v>
      </c>
      <c r="D210" s="2" t="s">
        <v>18</v>
      </c>
      <c r="E210" s="2" t="s">
        <v>25</v>
      </c>
      <c r="F210" s="4" t="str">
        <f>VLOOKUP($E210,Instructors!$A$2:$C693,3,FALSE)</f>
        <v>Self</v>
      </c>
      <c r="G210" s="4" t="str">
        <f t="shared" si="14"/>
        <v>NA</v>
      </c>
      <c r="H210" s="4" t="str">
        <f t="shared" si="3"/>
        <v/>
      </c>
      <c r="J210" s="4" t="str">
        <f>if($E210="Capstone","Capstone",if($E210="Holiday",""))</f>
        <v>Capstone</v>
      </c>
      <c r="K210" s="2">
        <v>90.0</v>
      </c>
      <c r="M210" s="2" t="s">
        <v>32</v>
      </c>
      <c r="N210" s="4"/>
      <c r="O210" s="4"/>
      <c r="P210" s="4"/>
      <c r="Q210" s="4"/>
    </row>
    <row r="211">
      <c r="A211" s="2">
        <f t="shared" si="78"/>
        <v>8</v>
      </c>
      <c r="B211" s="3">
        <f t="shared" si="82"/>
        <v>46079</v>
      </c>
      <c r="C211" s="2" t="s">
        <v>57</v>
      </c>
      <c r="D211" s="2" t="s">
        <v>24</v>
      </c>
      <c r="E211" s="2" t="s">
        <v>127</v>
      </c>
      <c r="F211" s="4" t="str">
        <f>VLOOKUP($E211,Instructors!$A$2:$C693,3,FALSE)</f>
        <v>&lt;5</v>
      </c>
      <c r="G211" s="4" t="str">
        <f t="shared" si="14"/>
        <v/>
      </c>
      <c r="H211" s="4" t="str">
        <f t="shared" si="3"/>
        <v/>
      </c>
      <c r="I211" s="2" t="s">
        <v>232</v>
      </c>
      <c r="J211" s="2" t="s">
        <v>146</v>
      </c>
      <c r="K211" s="2">
        <v>90.0</v>
      </c>
      <c r="M211" s="2" t="s">
        <v>129</v>
      </c>
      <c r="N211" s="2" t="s">
        <v>233</v>
      </c>
      <c r="O211" s="2" t="s">
        <v>101</v>
      </c>
      <c r="P211" s="2" t="s">
        <v>107</v>
      </c>
      <c r="Q211" s="4"/>
    </row>
    <row r="212">
      <c r="A212" s="2">
        <f t="shared" si="78"/>
        <v>8</v>
      </c>
      <c r="B212" s="3">
        <f t="shared" si="82"/>
        <v>46079</v>
      </c>
      <c r="C212" s="2" t="s">
        <v>57</v>
      </c>
      <c r="D212" s="2" t="s">
        <v>29</v>
      </c>
      <c r="E212" s="2" t="s">
        <v>127</v>
      </c>
      <c r="F212" s="4" t="str">
        <f>VLOOKUP($E212,Instructors!$A$2:$C693,3,FALSE)</f>
        <v>&lt;5</v>
      </c>
      <c r="G212" s="4" t="str">
        <f t="shared" si="14"/>
        <v/>
      </c>
      <c r="H212" s="4" t="str">
        <f t="shared" si="3"/>
        <v/>
      </c>
      <c r="I212" s="2" t="s">
        <v>232</v>
      </c>
      <c r="J212" s="2" t="s">
        <v>146</v>
      </c>
      <c r="K212" s="2">
        <v>90.0</v>
      </c>
      <c r="M212" s="2" t="s">
        <v>153</v>
      </c>
      <c r="N212" s="2" t="s">
        <v>223</v>
      </c>
      <c r="O212" s="2" t="s">
        <v>111</v>
      </c>
      <c r="P212" s="2" t="s">
        <v>220</v>
      </c>
      <c r="Q212" s="4"/>
    </row>
    <row r="213">
      <c r="A213" s="2">
        <f t="shared" si="78"/>
        <v>8</v>
      </c>
      <c r="B213" s="3">
        <f t="shared" si="82"/>
        <v>46079</v>
      </c>
      <c r="C213" s="2" t="s">
        <v>57</v>
      </c>
      <c r="D213" s="2" t="s">
        <v>31</v>
      </c>
      <c r="E213" s="2" t="s">
        <v>127</v>
      </c>
      <c r="F213" s="4" t="str">
        <f>VLOOKUP($E213,Instructors!$A$2:$C693,3,FALSE)</f>
        <v>&lt;5</v>
      </c>
      <c r="G213" s="4" t="str">
        <f t="shared" si="14"/>
        <v/>
      </c>
      <c r="H213" s="4" t="str">
        <f t="shared" si="3"/>
        <v/>
      </c>
      <c r="I213" s="2" t="s">
        <v>234</v>
      </c>
      <c r="J213" s="2" t="s">
        <v>36</v>
      </c>
      <c r="K213" s="2">
        <v>90.0</v>
      </c>
      <c r="M213" s="2" t="s">
        <v>22</v>
      </c>
      <c r="N213" s="2" t="s">
        <v>235</v>
      </c>
      <c r="O213" s="2" t="s">
        <v>51</v>
      </c>
      <c r="P213" s="2" t="s">
        <v>236</v>
      </c>
      <c r="Q213" s="4"/>
    </row>
    <row r="214">
      <c r="A214" s="2">
        <f t="shared" si="78"/>
        <v>8</v>
      </c>
      <c r="B214" s="3">
        <f t="shared" ref="B214:B217" si="83">B210+1</f>
        <v>46080</v>
      </c>
      <c r="C214" s="2" t="s">
        <v>73</v>
      </c>
      <c r="D214" s="2" t="s">
        <v>18</v>
      </c>
      <c r="E214" s="2" t="s">
        <v>25</v>
      </c>
      <c r="F214" s="4" t="str">
        <f>VLOOKUP($E214,Instructors!$A$2:$C693,3,FALSE)</f>
        <v>Self</v>
      </c>
      <c r="G214" s="4" t="str">
        <f t="shared" si="14"/>
        <v>NA</v>
      </c>
      <c r="H214" s="4" t="str">
        <f t="shared" si="3"/>
        <v/>
      </c>
      <c r="J214" s="4" t="str">
        <f>if($E214="Capstone","Capstone",if($E214="Holiday",""))</f>
        <v>Capstone</v>
      </c>
      <c r="K214" s="2">
        <v>90.0</v>
      </c>
      <c r="M214" s="4" t="str">
        <f>if($E214="Holiday","Holiday",if($E214="Capstone","Capstone"))</f>
        <v>Capstone</v>
      </c>
      <c r="N214" s="4"/>
      <c r="O214" s="4"/>
      <c r="P214" s="4"/>
      <c r="Q214" s="4"/>
    </row>
    <row r="215">
      <c r="A215" s="2">
        <f t="shared" si="78"/>
        <v>8</v>
      </c>
      <c r="B215" s="3">
        <f t="shared" si="83"/>
        <v>46080</v>
      </c>
      <c r="C215" s="2" t="s">
        <v>73</v>
      </c>
      <c r="D215" s="2" t="s">
        <v>24</v>
      </c>
      <c r="E215" s="2" t="s">
        <v>144</v>
      </c>
      <c r="F215" s="4" t="str">
        <f>VLOOKUP($E215,Instructors!$A$2:$C693,3,FALSE)</f>
        <v>&gt;10</v>
      </c>
      <c r="G215" s="4" t="str">
        <f t="shared" si="14"/>
        <v/>
      </c>
      <c r="H215" s="4" t="str">
        <f t="shared" si="3"/>
        <v/>
      </c>
      <c r="I215" s="2" t="s">
        <v>237</v>
      </c>
      <c r="J215" s="2" t="s">
        <v>36</v>
      </c>
      <c r="K215" s="2">
        <v>90.0</v>
      </c>
      <c r="M215" s="2" t="s">
        <v>22</v>
      </c>
      <c r="N215" s="2" t="s">
        <v>238</v>
      </c>
      <c r="O215" s="4"/>
      <c r="P215" s="4"/>
      <c r="Q215" s="4"/>
    </row>
    <row r="216">
      <c r="A216" s="2">
        <f t="shared" si="78"/>
        <v>8</v>
      </c>
      <c r="B216" s="3">
        <f t="shared" si="83"/>
        <v>46080</v>
      </c>
      <c r="C216" s="2" t="s">
        <v>73</v>
      </c>
      <c r="D216" s="2" t="s">
        <v>29</v>
      </c>
      <c r="E216" s="2" t="s">
        <v>127</v>
      </c>
      <c r="F216" s="4" t="str">
        <f>VLOOKUP($E216,Instructors!$A$2:$C693,3,FALSE)</f>
        <v>&lt;5</v>
      </c>
      <c r="G216" s="4" t="str">
        <f t="shared" si="14"/>
        <v/>
      </c>
      <c r="H216" s="4" t="str">
        <f t="shared" si="3"/>
        <v/>
      </c>
      <c r="I216" s="2" t="s">
        <v>234</v>
      </c>
      <c r="J216" s="2" t="s">
        <v>36</v>
      </c>
      <c r="K216" s="2">
        <v>120.0</v>
      </c>
      <c r="M216" s="2" t="s">
        <v>153</v>
      </c>
      <c r="N216" s="2" t="s">
        <v>55</v>
      </c>
      <c r="O216" s="2" t="s">
        <v>61</v>
      </c>
      <c r="P216" s="2" t="s">
        <v>216</v>
      </c>
      <c r="Q216" s="2" t="s">
        <v>70</v>
      </c>
    </row>
    <row r="217">
      <c r="A217" s="2">
        <f t="shared" si="78"/>
        <v>8</v>
      </c>
      <c r="B217" s="3">
        <f t="shared" si="83"/>
        <v>46080</v>
      </c>
      <c r="C217" s="2" t="s">
        <v>73</v>
      </c>
      <c r="D217" s="2" t="s">
        <v>31</v>
      </c>
      <c r="E217" s="2" t="s">
        <v>127</v>
      </c>
      <c r="F217" s="4" t="str">
        <f>VLOOKUP($E217,Instructors!$A$2:$C693,3,FALSE)</f>
        <v>&lt;5</v>
      </c>
      <c r="G217" s="4" t="str">
        <f t="shared" si="14"/>
        <v/>
      </c>
      <c r="H217" s="4" t="str">
        <f t="shared" si="3"/>
        <v/>
      </c>
      <c r="I217" s="2" t="s">
        <v>234</v>
      </c>
      <c r="J217" s="2" t="s">
        <v>36</v>
      </c>
      <c r="K217" s="2">
        <v>90.0</v>
      </c>
      <c r="M217" s="2" t="s">
        <v>153</v>
      </c>
      <c r="N217" s="4"/>
      <c r="O217" s="4"/>
      <c r="P217" s="4"/>
      <c r="Q217" s="4"/>
    </row>
    <row r="218">
      <c r="A218" s="2">
        <f t="shared" si="78"/>
        <v>8</v>
      </c>
      <c r="B218" s="3">
        <f t="shared" ref="B218:B225" si="84">B210+2</f>
        <v>46081</v>
      </c>
      <c r="C218" s="2" t="s">
        <v>86</v>
      </c>
      <c r="D218" s="2" t="s">
        <v>18</v>
      </c>
      <c r="E218" s="2" t="s">
        <v>92</v>
      </c>
      <c r="F218" s="4" t="str">
        <f>VLOOKUP($E218,Instructors!$A$2:$C693,3,FALSE)</f>
        <v/>
      </c>
      <c r="G218" s="4" t="str">
        <f t="shared" si="14"/>
        <v>NA</v>
      </c>
      <c r="H218" s="4" t="str">
        <f t="shared" si="3"/>
        <v>NA</v>
      </c>
      <c r="J218" s="4" t="str">
        <f t="shared" ref="J218:J245" si="85">if($E218="Capstone","Capstone",if($E218="Holiday",""))</f>
        <v/>
      </c>
      <c r="K218" s="2" t="str">
        <f t="shared" ref="K218:K245" si="86">if($E218="Holiday","NA")</f>
        <v>NA</v>
      </c>
      <c r="M218" s="4" t="str">
        <f t="shared" ref="M218:M245" si="87">if($E218="Holiday","Holiday",if($E218="Capstone","Capstone"))</f>
        <v>Holiday</v>
      </c>
      <c r="N218" s="4"/>
      <c r="O218" s="4"/>
      <c r="P218" s="4"/>
      <c r="Q218" s="4"/>
    </row>
    <row r="219">
      <c r="A219" s="2">
        <f t="shared" si="78"/>
        <v>8</v>
      </c>
      <c r="B219" s="3">
        <f t="shared" si="84"/>
        <v>46081</v>
      </c>
      <c r="C219" s="2" t="s">
        <v>86</v>
      </c>
      <c r="D219" s="2" t="s">
        <v>24</v>
      </c>
      <c r="E219" s="2" t="s">
        <v>92</v>
      </c>
      <c r="F219" s="4" t="str">
        <f>VLOOKUP($E219,Instructors!$A$2:$C693,3,FALSE)</f>
        <v/>
      </c>
      <c r="G219" s="4" t="str">
        <f t="shared" si="14"/>
        <v>NA</v>
      </c>
      <c r="H219" s="4" t="str">
        <f t="shared" si="3"/>
        <v>NA</v>
      </c>
      <c r="J219" s="4" t="str">
        <f t="shared" si="85"/>
        <v/>
      </c>
      <c r="K219" s="2" t="str">
        <f t="shared" si="86"/>
        <v>NA</v>
      </c>
      <c r="M219" s="4" t="str">
        <f t="shared" si="87"/>
        <v>Holiday</v>
      </c>
      <c r="N219" s="4"/>
      <c r="O219" s="4"/>
      <c r="P219" s="4"/>
      <c r="Q219" s="4"/>
    </row>
    <row r="220">
      <c r="A220" s="2">
        <f t="shared" si="78"/>
        <v>8</v>
      </c>
      <c r="B220" s="3">
        <f t="shared" si="84"/>
        <v>46081</v>
      </c>
      <c r="C220" s="2" t="s">
        <v>86</v>
      </c>
      <c r="D220" s="2" t="s">
        <v>29</v>
      </c>
      <c r="E220" s="2" t="s">
        <v>92</v>
      </c>
      <c r="F220" s="4" t="str">
        <f>VLOOKUP($E220,Instructors!$A$2:$C693,3,FALSE)</f>
        <v/>
      </c>
      <c r="G220" s="4" t="str">
        <f t="shared" si="14"/>
        <v>NA</v>
      </c>
      <c r="H220" s="4" t="str">
        <f t="shared" si="3"/>
        <v>NA</v>
      </c>
      <c r="J220" s="4" t="str">
        <f t="shared" si="85"/>
        <v/>
      </c>
      <c r="K220" s="2" t="str">
        <f t="shared" si="86"/>
        <v>NA</v>
      </c>
      <c r="M220" s="4" t="str">
        <f t="shared" si="87"/>
        <v>Holiday</v>
      </c>
      <c r="N220" s="4"/>
      <c r="O220" s="4"/>
      <c r="P220" s="4"/>
      <c r="Q220" s="4"/>
    </row>
    <row r="221">
      <c r="A221" s="2">
        <f t="shared" si="78"/>
        <v>8</v>
      </c>
      <c r="B221" s="3">
        <f t="shared" si="84"/>
        <v>46081</v>
      </c>
      <c r="C221" s="2" t="s">
        <v>86</v>
      </c>
      <c r="D221" s="2" t="s">
        <v>31</v>
      </c>
      <c r="E221" s="2" t="s">
        <v>92</v>
      </c>
      <c r="F221" s="4" t="str">
        <f>VLOOKUP($E221,Instructors!$A$2:$C693,3,FALSE)</f>
        <v/>
      </c>
      <c r="G221" s="4" t="str">
        <f t="shared" si="14"/>
        <v>NA</v>
      </c>
      <c r="H221" s="4" t="str">
        <f t="shared" si="3"/>
        <v>NA</v>
      </c>
      <c r="J221" s="4" t="str">
        <f t="shared" si="85"/>
        <v/>
      </c>
      <c r="K221" s="2" t="str">
        <f t="shared" si="86"/>
        <v>NA</v>
      </c>
      <c r="M221" s="4" t="str">
        <f t="shared" si="87"/>
        <v>Holiday</v>
      </c>
      <c r="N221" s="4"/>
      <c r="O221" s="4"/>
      <c r="P221" s="4"/>
      <c r="Q221" s="4"/>
    </row>
    <row r="222">
      <c r="A222" s="2">
        <f t="shared" si="78"/>
        <v>8</v>
      </c>
      <c r="B222" s="3">
        <f t="shared" si="84"/>
        <v>46082</v>
      </c>
      <c r="C222" s="2" t="s">
        <v>93</v>
      </c>
      <c r="D222" s="2" t="s">
        <v>18</v>
      </c>
      <c r="E222" s="2" t="s">
        <v>92</v>
      </c>
      <c r="F222" s="4" t="str">
        <f>VLOOKUP($E222,Instructors!$A$2:$C693,3,FALSE)</f>
        <v/>
      </c>
      <c r="G222" s="4" t="str">
        <f t="shared" si="14"/>
        <v>NA</v>
      </c>
      <c r="H222" s="4" t="str">
        <f t="shared" si="3"/>
        <v>NA</v>
      </c>
      <c r="J222" s="4" t="str">
        <f t="shared" si="85"/>
        <v/>
      </c>
      <c r="K222" s="2" t="str">
        <f t="shared" si="86"/>
        <v>NA</v>
      </c>
      <c r="M222" s="4" t="str">
        <f t="shared" si="87"/>
        <v>Holiday</v>
      </c>
      <c r="N222" s="4"/>
      <c r="O222" s="4"/>
      <c r="P222" s="4"/>
      <c r="Q222" s="4"/>
    </row>
    <row r="223">
      <c r="A223" s="2">
        <f t="shared" si="78"/>
        <v>8</v>
      </c>
      <c r="B223" s="3">
        <f t="shared" si="84"/>
        <v>46082</v>
      </c>
      <c r="C223" s="2" t="s">
        <v>93</v>
      </c>
      <c r="D223" s="2" t="s">
        <v>24</v>
      </c>
      <c r="E223" s="2" t="s">
        <v>92</v>
      </c>
      <c r="F223" s="4" t="str">
        <f>VLOOKUP($E223,Instructors!$A$2:$C693,3,FALSE)</f>
        <v/>
      </c>
      <c r="G223" s="4" t="str">
        <f t="shared" si="14"/>
        <v>NA</v>
      </c>
      <c r="H223" s="4" t="str">
        <f t="shared" si="3"/>
        <v>NA</v>
      </c>
      <c r="J223" s="4" t="str">
        <f t="shared" si="85"/>
        <v/>
      </c>
      <c r="K223" s="2" t="str">
        <f t="shared" si="86"/>
        <v>NA</v>
      </c>
      <c r="M223" s="4" t="str">
        <f t="shared" si="87"/>
        <v>Holiday</v>
      </c>
      <c r="N223" s="4"/>
      <c r="O223" s="4"/>
      <c r="P223" s="4"/>
      <c r="Q223" s="4"/>
    </row>
    <row r="224">
      <c r="A224" s="2">
        <f t="shared" si="78"/>
        <v>8</v>
      </c>
      <c r="B224" s="3">
        <f t="shared" si="84"/>
        <v>46082</v>
      </c>
      <c r="C224" s="2" t="s">
        <v>93</v>
      </c>
      <c r="D224" s="2" t="s">
        <v>29</v>
      </c>
      <c r="E224" s="2" t="s">
        <v>92</v>
      </c>
      <c r="F224" s="4" t="str">
        <f>VLOOKUP($E224,Instructors!$A$2:$C693,3,FALSE)</f>
        <v/>
      </c>
      <c r="G224" s="4" t="str">
        <f t="shared" si="14"/>
        <v>NA</v>
      </c>
      <c r="H224" s="4" t="str">
        <f t="shared" si="3"/>
        <v>NA</v>
      </c>
      <c r="J224" s="4" t="str">
        <f t="shared" si="85"/>
        <v/>
      </c>
      <c r="K224" s="2" t="str">
        <f t="shared" si="86"/>
        <v>NA</v>
      </c>
      <c r="M224" s="4" t="str">
        <f t="shared" si="87"/>
        <v>Holiday</v>
      </c>
      <c r="N224" s="4"/>
      <c r="O224" s="4"/>
      <c r="P224" s="4"/>
      <c r="Q224" s="4"/>
    </row>
    <row r="225">
      <c r="A225" s="2">
        <f t="shared" si="78"/>
        <v>8</v>
      </c>
      <c r="B225" s="3">
        <f t="shared" si="84"/>
        <v>46082</v>
      </c>
      <c r="C225" s="2" t="s">
        <v>93</v>
      </c>
      <c r="D225" s="2" t="s">
        <v>31</v>
      </c>
      <c r="E225" s="2" t="s">
        <v>92</v>
      </c>
      <c r="F225" s="4" t="str">
        <f>VLOOKUP($E225,Instructors!$A$2:$C693,3,FALSE)</f>
        <v/>
      </c>
      <c r="G225" s="4" t="str">
        <f t="shared" si="14"/>
        <v>NA</v>
      </c>
      <c r="H225" s="4" t="str">
        <f t="shared" si="3"/>
        <v>NA</v>
      </c>
      <c r="J225" s="4" t="str">
        <f t="shared" si="85"/>
        <v/>
      </c>
      <c r="K225" s="2" t="str">
        <f t="shared" si="86"/>
        <v>NA</v>
      </c>
      <c r="M225" s="4" t="str">
        <f t="shared" si="87"/>
        <v>Holiday</v>
      </c>
      <c r="N225" s="4"/>
      <c r="O225" s="4"/>
      <c r="P225" s="4"/>
      <c r="Q225" s="4"/>
    </row>
    <row r="226">
      <c r="A226" s="2">
        <f t="shared" si="78"/>
        <v>9</v>
      </c>
      <c r="B226" s="3">
        <f t="shared" ref="B226:B229" si="88">B222+1</f>
        <v>46083</v>
      </c>
      <c r="C226" s="2" t="s">
        <v>17</v>
      </c>
      <c r="D226" s="2" t="s">
        <v>18</v>
      </c>
      <c r="E226" s="2" t="s">
        <v>92</v>
      </c>
      <c r="F226" s="4" t="str">
        <f>VLOOKUP($E226,Instructors!$A$2:$C693,3,FALSE)</f>
        <v/>
      </c>
      <c r="G226" s="4" t="str">
        <f t="shared" si="14"/>
        <v>NA</v>
      </c>
      <c r="H226" s="4" t="str">
        <f t="shared" si="3"/>
        <v>NA</v>
      </c>
      <c r="J226" s="4" t="str">
        <f t="shared" si="85"/>
        <v/>
      </c>
      <c r="K226" s="2" t="str">
        <f t="shared" si="86"/>
        <v>NA</v>
      </c>
      <c r="M226" s="4" t="str">
        <f t="shared" si="87"/>
        <v>Holiday</v>
      </c>
      <c r="N226" s="4"/>
      <c r="O226" s="4"/>
      <c r="P226" s="4"/>
      <c r="Q226" s="4"/>
    </row>
    <row r="227">
      <c r="A227" s="2">
        <f t="shared" si="78"/>
        <v>9</v>
      </c>
      <c r="B227" s="3">
        <f t="shared" si="88"/>
        <v>46083</v>
      </c>
      <c r="C227" s="2" t="s">
        <v>17</v>
      </c>
      <c r="D227" s="2" t="s">
        <v>24</v>
      </c>
      <c r="E227" s="2" t="s">
        <v>92</v>
      </c>
      <c r="F227" s="4" t="str">
        <f>VLOOKUP($E227,Instructors!$A$2:$C693,3,FALSE)</f>
        <v/>
      </c>
      <c r="G227" s="4" t="str">
        <f t="shared" si="14"/>
        <v>NA</v>
      </c>
      <c r="H227" s="4" t="str">
        <f t="shared" si="3"/>
        <v>NA</v>
      </c>
      <c r="J227" s="4" t="str">
        <f t="shared" si="85"/>
        <v/>
      </c>
      <c r="K227" s="2" t="str">
        <f t="shared" si="86"/>
        <v>NA</v>
      </c>
      <c r="M227" s="4" t="str">
        <f t="shared" si="87"/>
        <v>Holiday</v>
      </c>
      <c r="N227" s="4"/>
      <c r="O227" s="4"/>
      <c r="P227" s="4"/>
      <c r="Q227" s="4"/>
    </row>
    <row r="228">
      <c r="A228" s="2">
        <f t="shared" si="78"/>
        <v>9</v>
      </c>
      <c r="B228" s="3">
        <f t="shared" si="88"/>
        <v>46083</v>
      </c>
      <c r="C228" s="2" t="s">
        <v>17</v>
      </c>
      <c r="D228" s="2" t="s">
        <v>29</v>
      </c>
      <c r="E228" s="2" t="s">
        <v>92</v>
      </c>
      <c r="F228" s="4" t="str">
        <f>VLOOKUP($E228,Instructors!$A$2:$C693,3,FALSE)</f>
        <v/>
      </c>
      <c r="G228" s="4" t="str">
        <f t="shared" si="14"/>
        <v>NA</v>
      </c>
      <c r="H228" s="4" t="str">
        <f t="shared" si="3"/>
        <v>NA</v>
      </c>
      <c r="J228" s="4" t="str">
        <f t="shared" si="85"/>
        <v/>
      </c>
      <c r="K228" s="2" t="str">
        <f t="shared" si="86"/>
        <v>NA</v>
      </c>
      <c r="M228" s="4" t="str">
        <f t="shared" si="87"/>
        <v>Holiday</v>
      </c>
      <c r="N228" s="4"/>
      <c r="O228" s="4"/>
      <c r="P228" s="4"/>
      <c r="Q228" s="4"/>
    </row>
    <row r="229">
      <c r="A229" s="2">
        <f t="shared" si="78"/>
        <v>9</v>
      </c>
      <c r="B229" s="3">
        <f t="shared" si="88"/>
        <v>46083</v>
      </c>
      <c r="C229" s="2" t="s">
        <v>17</v>
      </c>
      <c r="D229" s="2" t="s">
        <v>31</v>
      </c>
      <c r="E229" s="2" t="s">
        <v>92</v>
      </c>
      <c r="F229" s="4" t="str">
        <f>VLOOKUP($E229,Instructors!$A$2:$C693,3,FALSE)</f>
        <v/>
      </c>
      <c r="G229" s="4" t="str">
        <f t="shared" si="14"/>
        <v>NA</v>
      </c>
      <c r="H229" s="4" t="str">
        <f t="shared" si="3"/>
        <v>NA</v>
      </c>
      <c r="J229" s="4" t="str">
        <f t="shared" si="85"/>
        <v/>
      </c>
      <c r="K229" s="2" t="str">
        <f t="shared" si="86"/>
        <v>NA</v>
      </c>
      <c r="M229" s="4" t="str">
        <f t="shared" si="87"/>
        <v>Holiday</v>
      </c>
      <c r="N229" s="4"/>
      <c r="O229" s="4"/>
      <c r="P229" s="4"/>
      <c r="Q229" s="4"/>
    </row>
    <row r="230">
      <c r="A230" s="2">
        <f t="shared" si="78"/>
        <v>9</v>
      </c>
      <c r="B230" s="3">
        <f t="shared" ref="B230:B233" si="89">B222+2</f>
        <v>46084</v>
      </c>
      <c r="C230" s="2" t="s">
        <v>33</v>
      </c>
      <c r="D230" s="2" t="s">
        <v>18</v>
      </c>
      <c r="E230" s="2" t="s">
        <v>92</v>
      </c>
      <c r="F230" s="4" t="str">
        <f>VLOOKUP($E230,Instructors!$A$2:$C693,3,FALSE)</f>
        <v/>
      </c>
      <c r="G230" s="4" t="str">
        <f t="shared" si="14"/>
        <v>NA</v>
      </c>
      <c r="H230" s="4" t="str">
        <f t="shared" si="3"/>
        <v>NA</v>
      </c>
      <c r="J230" s="4" t="str">
        <f t="shared" si="85"/>
        <v/>
      </c>
      <c r="K230" s="2" t="str">
        <f t="shared" si="86"/>
        <v>NA</v>
      </c>
      <c r="M230" s="4" t="str">
        <f t="shared" si="87"/>
        <v>Holiday</v>
      </c>
      <c r="N230" s="4"/>
      <c r="O230" s="4"/>
      <c r="P230" s="4"/>
      <c r="Q230" s="4"/>
    </row>
    <row r="231">
      <c r="A231" s="2">
        <f t="shared" si="78"/>
        <v>9</v>
      </c>
      <c r="B231" s="3">
        <f t="shared" si="89"/>
        <v>46084</v>
      </c>
      <c r="C231" s="2" t="s">
        <v>33</v>
      </c>
      <c r="D231" s="2" t="s">
        <v>24</v>
      </c>
      <c r="E231" s="2" t="s">
        <v>92</v>
      </c>
      <c r="F231" s="4" t="str">
        <f>VLOOKUP($E231,Instructors!$A$2:$C693,3,FALSE)</f>
        <v/>
      </c>
      <c r="G231" s="4" t="str">
        <f t="shared" si="14"/>
        <v>NA</v>
      </c>
      <c r="H231" s="4" t="str">
        <f t="shared" si="3"/>
        <v>NA</v>
      </c>
      <c r="J231" s="4" t="str">
        <f t="shared" si="85"/>
        <v/>
      </c>
      <c r="K231" s="2" t="str">
        <f t="shared" si="86"/>
        <v>NA</v>
      </c>
      <c r="M231" s="4" t="str">
        <f t="shared" si="87"/>
        <v>Holiday</v>
      </c>
      <c r="N231" s="4"/>
      <c r="O231" s="4"/>
      <c r="P231" s="4"/>
      <c r="Q231" s="4"/>
    </row>
    <row r="232">
      <c r="A232" s="2">
        <f t="shared" si="78"/>
        <v>9</v>
      </c>
      <c r="B232" s="3">
        <f t="shared" si="89"/>
        <v>46084</v>
      </c>
      <c r="C232" s="2" t="s">
        <v>33</v>
      </c>
      <c r="D232" s="2" t="s">
        <v>29</v>
      </c>
      <c r="E232" s="2" t="s">
        <v>92</v>
      </c>
      <c r="F232" s="4" t="str">
        <f>VLOOKUP($E232,Instructors!$A$2:$C693,3,FALSE)</f>
        <v/>
      </c>
      <c r="G232" s="4" t="str">
        <f t="shared" si="14"/>
        <v>NA</v>
      </c>
      <c r="H232" s="4" t="str">
        <f t="shared" si="3"/>
        <v>NA</v>
      </c>
      <c r="J232" s="4" t="str">
        <f t="shared" si="85"/>
        <v/>
      </c>
      <c r="K232" s="2" t="str">
        <f t="shared" si="86"/>
        <v>NA</v>
      </c>
      <c r="M232" s="4" t="str">
        <f t="shared" si="87"/>
        <v>Holiday</v>
      </c>
      <c r="N232" s="4"/>
      <c r="O232" s="4"/>
      <c r="P232" s="4"/>
      <c r="Q232" s="4"/>
    </row>
    <row r="233">
      <c r="A233" s="2">
        <f t="shared" si="78"/>
        <v>9</v>
      </c>
      <c r="B233" s="3">
        <f t="shared" si="89"/>
        <v>46084</v>
      </c>
      <c r="C233" s="2" t="s">
        <v>33</v>
      </c>
      <c r="D233" s="2" t="s">
        <v>31</v>
      </c>
      <c r="E233" s="2" t="s">
        <v>92</v>
      </c>
      <c r="F233" s="4" t="str">
        <f>VLOOKUP($E233,Instructors!$A$2:$C693,3,FALSE)</f>
        <v/>
      </c>
      <c r="G233" s="4" t="str">
        <f t="shared" si="14"/>
        <v>NA</v>
      </c>
      <c r="H233" s="4" t="str">
        <f t="shared" si="3"/>
        <v>NA</v>
      </c>
      <c r="J233" s="4" t="str">
        <f t="shared" si="85"/>
        <v/>
      </c>
      <c r="K233" s="2" t="str">
        <f t="shared" si="86"/>
        <v>NA</v>
      </c>
      <c r="M233" s="4" t="str">
        <f t="shared" si="87"/>
        <v>Holiday</v>
      </c>
      <c r="N233" s="4"/>
      <c r="O233" s="4"/>
      <c r="P233" s="4"/>
      <c r="Q233" s="4"/>
    </row>
    <row r="234">
      <c r="A234" s="2">
        <f t="shared" si="78"/>
        <v>9</v>
      </c>
      <c r="B234" s="3">
        <f t="shared" ref="B234:B237" si="90">B230+1</f>
        <v>46085</v>
      </c>
      <c r="C234" s="2" t="s">
        <v>45</v>
      </c>
      <c r="D234" s="2" t="s">
        <v>18</v>
      </c>
      <c r="E234" s="2" t="s">
        <v>92</v>
      </c>
      <c r="F234" s="4" t="str">
        <f>VLOOKUP($E234,Instructors!$A$2:$C693,3,FALSE)</f>
        <v/>
      </c>
      <c r="G234" s="4" t="str">
        <f t="shared" si="14"/>
        <v>NA</v>
      </c>
      <c r="H234" s="4" t="str">
        <f t="shared" si="3"/>
        <v>NA</v>
      </c>
      <c r="J234" s="4" t="str">
        <f t="shared" si="85"/>
        <v/>
      </c>
      <c r="K234" s="2" t="str">
        <f t="shared" si="86"/>
        <v>NA</v>
      </c>
      <c r="M234" s="4" t="str">
        <f t="shared" si="87"/>
        <v>Holiday</v>
      </c>
      <c r="N234" s="4"/>
      <c r="O234" s="4"/>
      <c r="P234" s="4"/>
      <c r="Q234" s="4"/>
    </row>
    <row r="235">
      <c r="A235" s="2">
        <f t="shared" si="78"/>
        <v>9</v>
      </c>
      <c r="B235" s="3">
        <f t="shared" si="90"/>
        <v>46085</v>
      </c>
      <c r="C235" s="2" t="s">
        <v>45</v>
      </c>
      <c r="D235" s="2" t="s">
        <v>24</v>
      </c>
      <c r="E235" s="2" t="s">
        <v>92</v>
      </c>
      <c r="F235" s="4" t="str">
        <f>VLOOKUP($E235,Instructors!$A$2:$C693,3,FALSE)</f>
        <v/>
      </c>
      <c r="G235" s="4" t="str">
        <f t="shared" si="14"/>
        <v>NA</v>
      </c>
      <c r="H235" s="4" t="str">
        <f t="shared" si="3"/>
        <v>NA</v>
      </c>
      <c r="J235" s="4" t="str">
        <f t="shared" si="85"/>
        <v/>
      </c>
      <c r="K235" s="2" t="str">
        <f t="shared" si="86"/>
        <v>NA</v>
      </c>
      <c r="M235" s="4" t="str">
        <f t="shared" si="87"/>
        <v>Holiday</v>
      </c>
      <c r="N235" s="4"/>
      <c r="O235" s="4"/>
      <c r="P235" s="4"/>
      <c r="Q235" s="4"/>
    </row>
    <row r="236">
      <c r="A236" s="2">
        <f t="shared" si="78"/>
        <v>9</v>
      </c>
      <c r="B236" s="3">
        <f t="shared" si="90"/>
        <v>46085</v>
      </c>
      <c r="C236" s="2" t="s">
        <v>45</v>
      </c>
      <c r="D236" s="2" t="s">
        <v>29</v>
      </c>
      <c r="E236" s="2" t="s">
        <v>92</v>
      </c>
      <c r="F236" s="4" t="str">
        <f>VLOOKUP($E236,Instructors!$A$2:$C693,3,FALSE)</f>
        <v/>
      </c>
      <c r="G236" s="4" t="str">
        <f t="shared" si="14"/>
        <v>NA</v>
      </c>
      <c r="H236" s="4" t="str">
        <f t="shared" si="3"/>
        <v>NA</v>
      </c>
      <c r="J236" s="4" t="str">
        <f t="shared" si="85"/>
        <v/>
      </c>
      <c r="K236" s="2" t="str">
        <f t="shared" si="86"/>
        <v>NA</v>
      </c>
      <c r="M236" s="4" t="str">
        <f t="shared" si="87"/>
        <v>Holiday</v>
      </c>
      <c r="N236" s="4"/>
      <c r="O236" s="4"/>
      <c r="P236" s="4"/>
      <c r="Q236" s="4"/>
    </row>
    <row r="237">
      <c r="A237" s="2">
        <f t="shared" si="78"/>
        <v>9</v>
      </c>
      <c r="B237" s="3">
        <f t="shared" si="90"/>
        <v>46085</v>
      </c>
      <c r="C237" s="2" t="s">
        <v>45</v>
      </c>
      <c r="D237" s="2" t="s">
        <v>31</v>
      </c>
      <c r="E237" s="2" t="s">
        <v>92</v>
      </c>
      <c r="F237" s="4" t="str">
        <f>VLOOKUP($E237,Instructors!$A$2:$C693,3,FALSE)</f>
        <v/>
      </c>
      <c r="G237" s="4" t="str">
        <f t="shared" si="14"/>
        <v>NA</v>
      </c>
      <c r="H237" s="4" t="str">
        <f t="shared" si="3"/>
        <v>NA</v>
      </c>
      <c r="J237" s="4" t="str">
        <f t="shared" si="85"/>
        <v/>
      </c>
      <c r="K237" s="2" t="str">
        <f t="shared" si="86"/>
        <v>NA</v>
      </c>
      <c r="M237" s="4" t="str">
        <f t="shared" si="87"/>
        <v>Holiday</v>
      </c>
      <c r="N237" s="4"/>
      <c r="O237" s="4"/>
      <c r="P237" s="4"/>
      <c r="Q237" s="4"/>
    </row>
    <row r="238">
      <c r="A238" s="2">
        <f t="shared" si="78"/>
        <v>9</v>
      </c>
      <c r="B238" s="3">
        <f t="shared" ref="B238:B241" si="91">B230+2</f>
        <v>46086</v>
      </c>
      <c r="C238" s="2" t="s">
        <v>57</v>
      </c>
      <c r="D238" s="2" t="s">
        <v>18</v>
      </c>
      <c r="E238" s="2" t="s">
        <v>92</v>
      </c>
      <c r="F238" s="4" t="str">
        <f>VLOOKUP($E238,Instructors!$A$2:$C693,3,FALSE)</f>
        <v/>
      </c>
      <c r="G238" s="4" t="str">
        <f t="shared" si="14"/>
        <v>NA</v>
      </c>
      <c r="H238" s="4" t="str">
        <f t="shared" si="3"/>
        <v>NA</v>
      </c>
      <c r="J238" s="4" t="str">
        <f t="shared" si="85"/>
        <v/>
      </c>
      <c r="K238" s="2" t="str">
        <f t="shared" si="86"/>
        <v>NA</v>
      </c>
      <c r="M238" s="4" t="str">
        <f t="shared" si="87"/>
        <v>Holiday</v>
      </c>
      <c r="N238" s="4"/>
      <c r="O238" s="4"/>
      <c r="P238" s="4"/>
      <c r="Q238" s="4"/>
    </row>
    <row r="239">
      <c r="A239" s="2">
        <f t="shared" si="78"/>
        <v>9</v>
      </c>
      <c r="B239" s="3">
        <f t="shared" si="91"/>
        <v>46086</v>
      </c>
      <c r="C239" s="2" t="s">
        <v>57</v>
      </c>
      <c r="D239" s="2" t="s">
        <v>24</v>
      </c>
      <c r="E239" s="2" t="s">
        <v>92</v>
      </c>
      <c r="F239" s="4" t="str">
        <f>VLOOKUP($E239,Instructors!$A$2:$C693,3,FALSE)</f>
        <v/>
      </c>
      <c r="G239" s="4" t="str">
        <f t="shared" si="14"/>
        <v>NA</v>
      </c>
      <c r="H239" s="4" t="str">
        <f t="shared" si="3"/>
        <v>NA</v>
      </c>
      <c r="J239" s="4" t="str">
        <f t="shared" si="85"/>
        <v/>
      </c>
      <c r="K239" s="2" t="str">
        <f t="shared" si="86"/>
        <v>NA</v>
      </c>
      <c r="M239" s="4" t="str">
        <f t="shared" si="87"/>
        <v>Holiday</v>
      </c>
      <c r="N239" s="4"/>
      <c r="O239" s="4"/>
      <c r="P239" s="4"/>
      <c r="Q239" s="4"/>
    </row>
    <row r="240">
      <c r="A240" s="2">
        <f t="shared" si="78"/>
        <v>9</v>
      </c>
      <c r="B240" s="3">
        <f t="shared" si="91"/>
        <v>46086</v>
      </c>
      <c r="C240" s="2" t="s">
        <v>57</v>
      </c>
      <c r="D240" s="2" t="s">
        <v>29</v>
      </c>
      <c r="E240" s="2" t="s">
        <v>92</v>
      </c>
      <c r="F240" s="4" t="str">
        <f>VLOOKUP($E240,Instructors!$A$2:$C693,3,FALSE)</f>
        <v/>
      </c>
      <c r="G240" s="4" t="str">
        <f t="shared" si="14"/>
        <v>NA</v>
      </c>
      <c r="H240" s="4" t="str">
        <f t="shared" si="3"/>
        <v>NA</v>
      </c>
      <c r="J240" s="4" t="str">
        <f t="shared" si="85"/>
        <v/>
      </c>
      <c r="K240" s="2" t="str">
        <f t="shared" si="86"/>
        <v>NA</v>
      </c>
      <c r="M240" s="4" t="str">
        <f t="shared" si="87"/>
        <v>Holiday</v>
      </c>
      <c r="N240" s="4"/>
      <c r="O240" s="4"/>
      <c r="P240" s="4"/>
      <c r="Q240" s="4"/>
    </row>
    <row r="241">
      <c r="A241" s="2">
        <f t="shared" si="78"/>
        <v>9</v>
      </c>
      <c r="B241" s="3">
        <f t="shared" si="91"/>
        <v>46086</v>
      </c>
      <c r="C241" s="2" t="s">
        <v>57</v>
      </c>
      <c r="D241" s="2" t="s">
        <v>31</v>
      </c>
      <c r="E241" s="2" t="s">
        <v>92</v>
      </c>
      <c r="F241" s="4" t="str">
        <f>VLOOKUP($E241,Instructors!$A$2:$C693,3,FALSE)</f>
        <v/>
      </c>
      <c r="G241" s="4" t="str">
        <f t="shared" si="14"/>
        <v>NA</v>
      </c>
      <c r="H241" s="4" t="str">
        <f t="shared" si="3"/>
        <v>NA</v>
      </c>
      <c r="J241" s="4" t="str">
        <f t="shared" si="85"/>
        <v/>
      </c>
      <c r="K241" s="2" t="str">
        <f t="shared" si="86"/>
        <v>NA</v>
      </c>
      <c r="M241" s="4" t="str">
        <f t="shared" si="87"/>
        <v>Holiday</v>
      </c>
      <c r="N241" s="4"/>
      <c r="O241" s="4"/>
      <c r="P241" s="4"/>
      <c r="Q241" s="4"/>
    </row>
    <row r="242">
      <c r="A242" s="2">
        <f t="shared" si="78"/>
        <v>9</v>
      </c>
      <c r="B242" s="3">
        <f t="shared" ref="B242:B245" si="92">B238+1</f>
        <v>46087</v>
      </c>
      <c r="C242" s="2" t="s">
        <v>73</v>
      </c>
      <c r="D242" s="2" t="s">
        <v>18</v>
      </c>
      <c r="E242" s="2" t="s">
        <v>92</v>
      </c>
      <c r="F242" s="4" t="str">
        <f>VLOOKUP($E242,Instructors!$A$2:$C693,3,FALSE)</f>
        <v/>
      </c>
      <c r="G242" s="4" t="str">
        <f t="shared" si="14"/>
        <v>NA</v>
      </c>
      <c r="H242" s="4" t="str">
        <f t="shared" si="3"/>
        <v>NA</v>
      </c>
      <c r="J242" s="4" t="str">
        <f t="shared" si="85"/>
        <v/>
      </c>
      <c r="K242" s="2" t="str">
        <f t="shared" si="86"/>
        <v>NA</v>
      </c>
      <c r="M242" s="4" t="str">
        <f t="shared" si="87"/>
        <v>Holiday</v>
      </c>
      <c r="N242" s="4"/>
      <c r="O242" s="4"/>
      <c r="P242" s="4"/>
      <c r="Q242" s="4"/>
    </row>
    <row r="243">
      <c r="A243" s="2">
        <f t="shared" si="78"/>
        <v>9</v>
      </c>
      <c r="B243" s="3">
        <f t="shared" si="92"/>
        <v>46087</v>
      </c>
      <c r="C243" s="2" t="s">
        <v>73</v>
      </c>
      <c r="D243" s="2" t="s">
        <v>24</v>
      </c>
      <c r="E243" s="2" t="s">
        <v>92</v>
      </c>
      <c r="F243" s="4" t="str">
        <f>VLOOKUP($E243,Instructors!$A$2:$C693,3,FALSE)</f>
        <v/>
      </c>
      <c r="G243" s="4" t="str">
        <f t="shared" si="14"/>
        <v>NA</v>
      </c>
      <c r="H243" s="4" t="str">
        <f t="shared" si="3"/>
        <v>NA</v>
      </c>
      <c r="J243" s="4" t="str">
        <f t="shared" si="85"/>
        <v/>
      </c>
      <c r="K243" s="2" t="str">
        <f t="shared" si="86"/>
        <v>NA</v>
      </c>
      <c r="M243" s="4" t="str">
        <f t="shared" si="87"/>
        <v>Holiday</v>
      </c>
      <c r="N243" s="4"/>
      <c r="O243" s="4"/>
      <c r="P243" s="4"/>
      <c r="Q243" s="4"/>
    </row>
    <row r="244">
      <c r="A244" s="2">
        <f t="shared" si="78"/>
        <v>9</v>
      </c>
      <c r="B244" s="3">
        <f t="shared" si="92"/>
        <v>46087</v>
      </c>
      <c r="C244" s="2" t="s">
        <v>73</v>
      </c>
      <c r="D244" s="2" t="s">
        <v>29</v>
      </c>
      <c r="E244" s="2" t="s">
        <v>92</v>
      </c>
      <c r="F244" s="4" t="str">
        <f>VLOOKUP($E244,Instructors!$A$2:$C693,3,FALSE)</f>
        <v/>
      </c>
      <c r="G244" s="4" t="str">
        <f t="shared" si="14"/>
        <v>NA</v>
      </c>
      <c r="H244" s="4" t="str">
        <f t="shared" si="3"/>
        <v>NA</v>
      </c>
      <c r="J244" s="4" t="str">
        <f t="shared" si="85"/>
        <v/>
      </c>
      <c r="K244" s="2" t="str">
        <f t="shared" si="86"/>
        <v>NA</v>
      </c>
      <c r="M244" s="4" t="str">
        <f t="shared" si="87"/>
        <v>Holiday</v>
      </c>
      <c r="N244" s="4"/>
      <c r="O244" s="4"/>
      <c r="P244" s="4"/>
      <c r="Q244" s="4"/>
    </row>
    <row r="245">
      <c r="A245" s="2">
        <f t="shared" si="78"/>
        <v>9</v>
      </c>
      <c r="B245" s="3">
        <f t="shared" si="92"/>
        <v>46087</v>
      </c>
      <c r="C245" s="2" t="s">
        <v>73</v>
      </c>
      <c r="D245" s="2" t="s">
        <v>31</v>
      </c>
      <c r="E245" s="2" t="s">
        <v>92</v>
      </c>
      <c r="F245" s="4" t="str">
        <f>VLOOKUP($E245,Instructors!$A$2:$C693,3,FALSE)</f>
        <v/>
      </c>
      <c r="G245" s="4" t="str">
        <f t="shared" si="14"/>
        <v>NA</v>
      </c>
      <c r="H245" s="4" t="str">
        <f t="shared" si="3"/>
        <v>NA</v>
      </c>
      <c r="J245" s="4" t="str">
        <f t="shared" si="85"/>
        <v/>
      </c>
      <c r="K245" s="2" t="str">
        <f t="shared" si="86"/>
        <v>NA</v>
      </c>
      <c r="M245" s="4" t="str">
        <f t="shared" si="87"/>
        <v>Holiday</v>
      </c>
      <c r="N245" s="4"/>
      <c r="O245" s="4"/>
      <c r="P245" s="4"/>
      <c r="Q245" s="4"/>
    </row>
    <row r="246">
      <c r="A246" s="2">
        <f t="shared" si="78"/>
        <v>9</v>
      </c>
      <c r="B246" s="3">
        <f t="shared" ref="B246:B253" si="93">B238+2</f>
        <v>46088</v>
      </c>
      <c r="C246" s="2" t="s">
        <v>86</v>
      </c>
      <c r="D246" s="2" t="s">
        <v>18</v>
      </c>
      <c r="E246" s="2" t="s">
        <v>165</v>
      </c>
      <c r="F246" s="4" t="str">
        <f>VLOOKUP($E246,Instructors!$A$2:$C693,3,FALSE)</f>
        <v>&gt;30</v>
      </c>
      <c r="G246" s="4" t="str">
        <f t="shared" si="14"/>
        <v/>
      </c>
      <c r="H246" s="4" t="str">
        <f t="shared" si="3"/>
        <v/>
      </c>
      <c r="I246" s="2" t="s">
        <v>239</v>
      </c>
      <c r="J246" s="2" t="s">
        <v>21</v>
      </c>
      <c r="K246" s="2">
        <v>90.0</v>
      </c>
      <c r="M246" s="2" t="s">
        <v>22</v>
      </c>
      <c r="N246" s="4"/>
      <c r="O246" s="4"/>
      <c r="P246" s="4"/>
      <c r="Q246" s="4"/>
    </row>
    <row r="247">
      <c r="A247" s="2">
        <f t="shared" si="78"/>
        <v>9</v>
      </c>
      <c r="B247" s="3">
        <f t="shared" si="93"/>
        <v>46088</v>
      </c>
      <c r="C247" s="2" t="s">
        <v>86</v>
      </c>
      <c r="D247" s="2" t="s">
        <v>24</v>
      </c>
      <c r="E247" s="4"/>
      <c r="F247" s="4" t="str">
        <f>VLOOKUP($E247,Instructors!$A$2:$C693,3,FALSE)</f>
        <v>#N/A</v>
      </c>
      <c r="G247" s="4" t="str">
        <f t="shared" si="14"/>
        <v/>
      </c>
      <c r="H247" s="4" t="str">
        <f t="shared" si="3"/>
        <v/>
      </c>
      <c r="J247" s="2" t="s">
        <v>25</v>
      </c>
      <c r="K247" s="2">
        <v>90.0</v>
      </c>
      <c r="M247" s="2" t="s">
        <v>25</v>
      </c>
      <c r="N247" s="4"/>
      <c r="O247" s="4"/>
      <c r="P247" s="4"/>
      <c r="Q247" s="4"/>
    </row>
    <row r="248">
      <c r="A248" s="2">
        <f t="shared" si="78"/>
        <v>9</v>
      </c>
      <c r="B248" s="3">
        <f t="shared" si="93"/>
        <v>46088</v>
      </c>
      <c r="C248" s="2" t="s">
        <v>86</v>
      </c>
      <c r="D248" s="2" t="s">
        <v>29</v>
      </c>
      <c r="E248" s="4"/>
      <c r="F248" s="4" t="str">
        <f>VLOOKUP($E248,Instructors!$A$2:$C693,3,FALSE)</f>
        <v>#N/A</v>
      </c>
      <c r="G248" s="4" t="str">
        <f t="shared" si="14"/>
        <v/>
      </c>
      <c r="H248" s="4" t="str">
        <f t="shared" si="3"/>
        <v/>
      </c>
      <c r="J248" s="2" t="s">
        <v>25</v>
      </c>
      <c r="K248" s="2">
        <v>90.0</v>
      </c>
      <c r="M248" s="2" t="s">
        <v>25</v>
      </c>
      <c r="N248" s="4"/>
      <c r="O248" s="4"/>
      <c r="P248" s="4"/>
      <c r="Q248" s="4"/>
    </row>
    <row r="249">
      <c r="A249" s="2">
        <f t="shared" si="78"/>
        <v>9</v>
      </c>
      <c r="B249" s="3">
        <f t="shared" si="93"/>
        <v>46088</v>
      </c>
      <c r="C249" s="2" t="s">
        <v>86</v>
      </c>
      <c r="D249" s="2" t="s">
        <v>31</v>
      </c>
      <c r="E249" s="4"/>
      <c r="F249" s="4" t="str">
        <f>VLOOKUP($E249,Instructors!$A$2:$C693,3,FALSE)</f>
        <v>#N/A</v>
      </c>
      <c r="G249" s="4" t="str">
        <f t="shared" si="14"/>
        <v/>
      </c>
      <c r="H249" s="4" t="str">
        <f t="shared" si="3"/>
        <v/>
      </c>
      <c r="J249" s="2" t="s">
        <v>25</v>
      </c>
      <c r="K249" s="2">
        <v>90.0</v>
      </c>
      <c r="M249" s="2" t="s">
        <v>25</v>
      </c>
      <c r="N249" s="4"/>
      <c r="O249" s="4"/>
      <c r="P249" s="4"/>
      <c r="Q249" s="4"/>
    </row>
    <row r="250">
      <c r="A250" s="2">
        <f t="shared" si="78"/>
        <v>9</v>
      </c>
      <c r="B250" s="3">
        <f t="shared" si="93"/>
        <v>46089</v>
      </c>
      <c r="C250" s="2" t="s">
        <v>93</v>
      </c>
      <c r="D250" s="2" t="s">
        <v>18</v>
      </c>
      <c r="E250" s="2" t="s">
        <v>92</v>
      </c>
      <c r="F250" s="4" t="str">
        <f>VLOOKUP($E250,Instructors!$A$2:$C693,3,FALSE)</f>
        <v/>
      </c>
      <c r="G250" s="4" t="str">
        <f t="shared" si="14"/>
        <v>NA</v>
      </c>
      <c r="H250" s="4" t="str">
        <f t="shared" si="3"/>
        <v>NA</v>
      </c>
      <c r="J250" s="4" t="str">
        <f t="shared" ref="J250:J253" si="94">if($E250="Capstone","Capstone",if($E250="Holiday",""))</f>
        <v/>
      </c>
      <c r="K250" s="2" t="s">
        <v>240</v>
      </c>
      <c r="M250" s="4" t="str">
        <f t="shared" ref="M250:M253" si="95">if($E250="Holiday","Holiday",if($E250="Capstone","Capstone"))</f>
        <v>Holiday</v>
      </c>
      <c r="N250" s="2" t="s">
        <v>65</v>
      </c>
      <c r="O250" s="4"/>
      <c r="P250" s="4"/>
      <c r="Q250" s="4"/>
    </row>
    <row r="251">
      <c r="A251" s="2">
        <f t="shared" si="78"/>
        <v>9</v>
      </c>
      <c r="B251" s="3">
        <f t="shared" si="93"/>
        <v>46089</v>
      </c>
      <c r="C251" s="2" t="s">
        <v>93</v>
      </c>
      <c r="D251" s="2" t="s">
        <v>24</v>
      </c>
      <c r="E251" s="2" t="s">
        <v>92</v>
      </c>
      <c r="F251" s="4" t="str">
        <f>VLOOKUP($E251,Instructors!$A$2:$C693,3,FALSE)</f>
        <v/>
      </c>
      <c r="G251" s="4" t="str">
        <f t="shared" si="14"/>
        <v>NA</v>
      </c>
      <c r="H251" s="4" t="str">
        <f t="shared" si="3"/>
        <v>NA</v>
      </c>
      <c r="J251" s="4" t="str">
        <f t="shared" si="94"/>
        <v/>
      </c>
      <c r="K251" s="2" t="str">
        <f t="shared" ref="K251:K253" si="96">if($E251="Holiday","NA")</f>
        <v>NA</v>
      </c>
      <c r="M251" s="4" t="str">
        <f t="shared" si="95"/>
        <v>Holiday</v>
      </c>
      <c r="N251" s="4"/>
      <c r="O251" s="4"/>
      <c r="P251" s="4"/>
      <c r="Q251" s="4"/>
    </row>
    <row r="252">
      <c r="A252" s="2">
        <f t="shared" si="78"/>
        <v>9</v>
      </c>
      <c r="B252" s="3">
        <f t="shared" si="93"/>
        <v>46089</v>
      </c>
      <c r="C252" s="2" t="s">
        <v>93</v>
      </c>
      <c r="D252" s="2" t="s">
        <v>29</v>
      </c>
      <c r="E252" s="2" t="s">
        <v>92</v>
      </c>
      <c r="F252" s="4" t="str">
        <f>VLOOKUP($E252,Instructors!$A$2:$C693,3,FALSE)</f>
        <v/>
      </c>
      <c r="G252" s="4" t="str">
        <f t="shared" si="14"/>
        <v>NA</v>
      </c>
      <c r="H252" s="4" t="str">
        <f t="shared" si="3"/>
        <v>NA</v>
      </c>
      <c r="J252" s="4" t="str">
        <f t="shared" si="94"/>
        <v/>
      </c>
      <c r="K252" s="2" t="str">
        <f t="shared" si="96"/>
        <v>NA</v>
      </c>
      <c r="M252" s="4" t="str">
        <f t="shared" si="95"/>
        <v>Holiday</v>
      </c>
      <c r="N252" s="4"/>
      <c r="O252" s="4"/>
      <c r="P252" s="4"/>
      <c r="Q252" s="4"/>
    </row>
    <row r="253">
      <c r="A253" s="2">
        <f t="shared" si="78"/>
        <v>9</v>
      </c>
      <c r="B253" s="3">
        <f t="shared" si="93"/>
        <v>46089</v>
      </c>
      <c r="C253" s="2" t="s">
        <v>93</v>
      </c>
      <c r="D253" s="2" t="s">
        <v>31</v>
      </c>
      <c r="E253" s="2" t="s">
        <v>92</v>
      </c>
      <c r="F253" s="4" t="str">
        <f>VLOOKUP($E253,Instructors!$A$2:$C693,3,FALSE)</f>
        <v/>
      </c>
      <c r="G253" s="4" t="str">
        <f t="shared" si="14"/>
        <v>NA</v>
      </c>
      <c r="H253" s="4" t="str">
        <f t="shared" si="3"/>
        <v>NA</v>
      </c>
      <c r="J253" s="4" t="str">
        <f t="shared" si="94"/>
        <v/>
      </c>
      <c r="K253" s="2" t="str">
        <f t="shared" si="96"/>
        <v>NA</v>
      </c>
      <c r="M253" s="4" t="str">
        <f t="shared" si="95"/>
        <v>Holiday</v>
      </c>
      <c r="N253" s="4"/>
      <c r="O253" s="4"/>
      <c r="P253" s="4"/>
      <c r="Q253" s="4"/>
    </row>
    <row r="254">
      <c r="A254" s="2">
        <f t="shared" si="78"/>
        <v>10</v>
      </c>
      <c r="B254" s="3">
        <f t="shared" ref="B254:B257" si="97">B250+1</f>
        <v>46090</v>
      </c>
      <c r="C254" s="2" t="s">
        <v>17</v>
      </c>
      <c r="D254" s="2" t="s">
        <v>18</v>
      </c>
      <c r="E254" s="2" t="s">
        <v>19</v>
      </c>
      <c r="F254" s="4" t="str">
        <f>VLOOKUP($E254,Instructors!$A$2:$C693,3,FALSE)</f>
        <v>&gt;20</v>
      </c>
      <c r="G254" s="4" t="str">
        <f t="shared" si="14"/>
        <v/>
      </c>
      <c r="H254" s="4" t="str">
        <f t="shared" si="3"/>
        <v/>
      </c>
      <c r="I254" s="2" t="s">
        <v>241</v>
      </c>
      <c r="J254" s="2" t="s">
        <v>89</v>
      </c>
      <c r="K254" s="2">
        <v>90.0</v>
      </c>
      <c r="M254" s="2" t="s">
        <v>27</v>
      </c>
      <c r="N254" s="4"/>
      <c r="O254" s="4"/>
      <c r="P254" s="4"/>
      <c r="Q254" s="4"/>
    </row>
    <row r="255">
      <c r="A255" s="2">
        <f t="shared" si="78"/>
        <v>10</v>
      </c>
      <c r="B255" s="3">
        <f t="shared" si="97"/>
        <v>46090</v>
      </c>
      <c r="C255" s="2" t="s">
        <v>17</v>
      </c>
      <c r="D255" s="2" t="s">
        <v>24</v>
      </c>
      <c r="E255" s="2" t="s">
        <v>19</v>
      </c>
      <c r="F255" s="4" t="str">
        <f>VLOOKUP($E255,Instructors!$A$2:$C693,3,FALSE)</f>
        <v>&gt;20</v>
      </c>
      <c r="G255" s="4" t="str">
        <f t="shared" si="14"/>
        <v/>
      </c>
      <c r="H255" s="4" t="str">
        <f t="shared" si="3"/>
        <v/>
      </c>
      <c r="I255" s="2" t="s">
        <v>242</v>
      </c>
      <c r="J255" s="2" t="s">
        <v>36</v>
      </c>
      <c r="K255" s="2">
        <v>90.0</v>
      </c>
      <c r="M255" s="2" t="s">
        <v>22</v>
      </c>
      <c r="N255" s="2" t="s">
        <v>37</v>
      </c>
      <c r="O255" s="2" t="s">
        <v>65</v>
      </c>
      <c r="P255" s="4"/>
      <c r="Q255" s="4"/>
    </row>
    <row r="256">
      <c r="A256" s="2">
        <f t="shared" si="78"/>
        <v>10</v>
      </c>
      <c r="B256" s="3">
        <f t="shared" si="97"/>
        <v>46090</v>
      </c>
      <c r="C256" s="2" t="s">
        <v>17</v>
      </c>
      <c r="D256" s="2" t="s">
        <v>29</v>
      </c>
      <c r="E256" s="2" t="s">
        <v>25</v>
      </c>
      <c r="F256" s="4" t="str">
        <f>VLOOKUP($E256,Instructors!$A$2:$C693,3,FALSE)</f>
        <v>Self</v>
      </c>
      <c r="G256" s="4" t="str">
        <f t="shared" si="14"/>
        <v>NA</v>
      </c>
      <c r="H256" s="4" t="str">
        <f t="shared" si="3"/>
        <v/>
      </c>
      <c r="I256" s="2" t="s">
        <v>243</v>
      </c>
      <c r="J256" s="2" t="s">
        <v>25</v>
      </c>
      <c r="K256" s="2">
        <v>90.0</v>
      </c>
      <c r="M256" s="2" t="s">
        <v>129</v>
      </c>
      <c r="N256" s="2" t="s">
        <v>41</v>
      </c>
      <c r="O256" s="4"/>
      <c r="P256" s="4"/>
      <c r="Q256" s="4"/>
    </row>
    <row r="257">
      <c r="A257" s="2">
        <f t="shared" si="78"/>
        <v>10</v>
      </c>
      <c r="B257" s="3">
        <f t="shared" si="97"/>
        <v>46090</v>
      </c>
      <c r="C257" s="2" t="s">
        <v>17</v>
      </c>
      <c r="D257" s="2" t="s">
        <v>31</v>
      </c>
      <c r="E257" s="2" t="s">
        <v>160</v>
      </c>
      <c r="F257" s="4" t="str">
        <f>VLOOKUP($E257,Instructors!$A$2:$C693,3,FALSE)</f>
        <v>&lt;5</v>
      </c>
      <c r="G257" s="4" t="str">
        <f t="shared" si="14"/>
        <v/>
      </c>
      <c r="H257" s="4" t="str">
        <f t="shared" si="3"/>
        <v/>
      </c>
      <c r="I257" s="2" t="s">
        <v>244</v>
      </c>
      <c r="J257" s="2" t="s">
        <v>30</v>
      </c>
      <c r="K257" s="2">
        <v>90.0</v>
      </c>
      <c r="M257" s="2" t="s">
        <v>129</v>
      </c>
      <c r="N257" s="2" t="s">
        <v>41</v>
      </c>
      <c r="O257" s="4"/>
      <c r="P257" s="4"/>
      <c r="Q257" s="4"/>
    </row>
    <row r="258">
      <c r="A258" s="2">
        <f t="shared" si="78"/>
        <v>10</v>
      </c>
      <c r="B258" s="3">
        <f t="shared" ref="B258:B261" si="98">B250+2</f>
        <v>46091</v>
      </c>
      <c r="C258" s="2" t="s">
        <v>33</v>
      </c>
      <c r="D258" s="2" t="s">
        <v>18</v>
      </c>
      <c r="E258" s="2" t="s">
        <v>245</v>
      </c>
      <c r="F258" s="4" t="str">
        <f>VLOOKUP($E258,Instructors!$A$2:$C693,3,FALSE)</f>
        <v>&gt;50</v>
      </c>
      <c r="G258" s="4" t="str">
        <f t="shared" si="14"/>
        <v/>
      </c>
      <c r="H258" s="4" t="str">
        <f t="shared" si="3"/>
        <v/>
      </c>
      <c r="I258" s="2" t="s">
        <v>246</v>
      </c>
      <c r="J258" s="2" t="s">
        <v>36</v>
      </c>
      <c r="K258" s="2">
        <v>90.0</v>
      </c>
      <c r="M258" s="2" t="s">
        <v>153</v>
      </c>
      <c r="N258" s="2" t="s">
        <v>51</v>
      </c>
      <c r="O258" s="2" t="s">
        <v>60</v>
      </c>
      <c r="P258" s="2" t="s">
        <v>236</v>
      </c>
      <c r="Q258" s="4"/>
    </row>
    <row r="259">
      <c r="A259" s="2">
        <f t="shared" si="78"/>
        <v>10</v>
      </c>
      <c r="B259" s="3">
        <f t="shared" si="98"/>
        <v>46091</v>
      </c>
      <c r="C259" s="2" t="s">
        <v>33</v>
      </c>
      <c r="D259" s="2" t="s">
        <v>24</v>
      </c>
      <c r="E259" s="2" t="s">
        <v>245</v>
      </c>
      <c r="F259" s="4" t="str">
        <f>VLOOKUP($E259,Instructors!$A$2:$C693,3,FALSE)</f>
        <v>&gt;50</v>
      </c>
      <c r="G259" s="4" t="str">
        <f t="shared" si="14"/>
        <v/>
      </c>
      <c r="H259" s="4" t="str">
        <f t="shared" si="3"/>
        <v/>
      </c>
      <c r="I259" s="2" t="s">
        <v>247</v>
      </c>
      <c r="J259" s="2" t="s">
        <v>36</v>
      </c>
      <c r="K259" s="2">
        <v>90.0</v>
      </c>
      <c r="M259" s="2" t="s">
        <v>153</v>
      </c>
      <c r="N259" s="2" t="s">
        <v>61</v>
      </c>
      <c r="O259" s="2" t="s">
        <v>63</v>
      </c>
      <c r="P259" s="2" t="s">
        <v>70</v>
      </c>
      <c r="Q259" s="4"/>
    </row>
    <row r="260">
      <c r="A260" s="2">
        <f t="shared" si="78"/>
        <v>10</v>
      </c>
      <c r="B260" s="3">
        <f t="shared" si="98"/>
        <v>46091</v>
      </c>
      <c r="C260" s="2" t="s">
        <v>33</v>
      </c>
      <c r="D260" s="2" t="s">
        <v>29</v>
      </c>
      <c r="E260" s="2" t="s">
        <v>25</v>
      </c>
      <c r="F260" s="4" t="str">
        <f>VLOOKUP($E260,Instructors!$A$2:$C693,3,FALSE)</f>
        <v>Self</v>
      </c>
      <c r="G260" s="4" t="str">
        <f t="shared" si="14"/>
        <v>NA</v>
      </c>
      <c r="H260" s="4" t="str">
        <f t="shared" si="3"/>
        <v/>
      </c>
      <c r="J260" s="4" t="str">
        <f t="shared" ref="J260:J261" si="99">if($E260="Capstone","Capstone",if($E260="Holiday",""))</f>
        <v>Capstone</v>
      </c>
      <c r="K260" s="2" t="b">
        <f t="shared" ref="K260:K261" si="100">if($E260="Holiday","NA")</f>
        <v>0</v>
      </c>
      <c r="M260" s="4" t="str">
        <f t="shared" ref="M260:M261" si="101">if($E260="Holiday","Holiday",if($E260="Capstone","Capstone"))</f>
        <v>Capstone</v>
      </c>
      <c r="N260" s="4"/>
      <c r="O260" s="4"/>
      <c r="P260" s="4"/>
      <c r="Q260" s="4"/>
    </row>
    <row r="261">
      <c r="A261" s="2">
        <f t="shared" si="78"/>
        <v>10</v>
      </c>
      <c r="B261" s="3">
        <f t="shared" si="98"/>
        <v>46091</v>
      </c>
      <c r="C261" s="2" t="s">
        <v>33</v>
      </c>
      <c r="D261" s="2" t="s">
        <v>31</v>
      </c>
      <c r="E261" s="4"/>
      <c r="F261" s="4" t="str">
        <f>VLOOKUP($E261,Instructors!$A$2:$C693,3,FALSE)</f>
        <v>#N/A</v>
      </c>
      <c r="G261" s="4" t="str">
        <f t="shared" si="14"/>
        <v/>
      </c>
      <c r="H261" s="4" t="str">
        <f t="shared" si="3"/>
        <v/>
      </c>
      <c r="J261" s="4" t="b">
        <f t="shared" si="99"/>
        <v>0</v>
      </c>
      <c r="K261" s="2" t="b">
        <f t="shared" si="100"/>
        <v>0</v>
      </c>
      <c r="M261" s="4" t="b">
        <f t="shared" si="101"/>
        <v>0</v>
      </c>
      <c r="N261" s="4"/>
      <c r="O261" s="4"/>
      <c r="P261" s="4"/>
      <c r="Q261" s="4"/>
    </row>
    <row r="262">
      <c r="A262" s="2">
        <f t="shared" si="78"/>
        <v>10</v>
      </c>
      <c r="B262" s="3">
        <f t="shared" ref="B262:B265" si="102">B258+1</f>
        <v>46092</v>
      </c>
      <c r="C262" s="2" t="s">
        <v>45</v>
      </c>
      <c r="D262" s="2" t="s">
        <v>18</v>
      </c>
      <c r="E262" s="2" t="s">
        <v>127</v>
      </c>
      <c r="F262" s="4" t="str">
        <f>VLOOKUP($E262,Instructors!$A$2:$C693,3,FALSE)</f>
        <v>&lt;5</v>
      </c>
      <c r="G262" s="4" t="str">
        <f t="shared" si="14"/>
        <v/>
      </c>
      <c r="H262" s="4" t="str">
        <f t="shared" si="3"/>
        <v/>
      </c>
      <c r="I262" s="2" t="s">
        <v>248</v>
      </c>
      <c r="J262" s="2" t="s">
        <v>117</v>
      </c>
      <c r="K262" s="2">
        <v>90.0</v>
      </c>
      <c r="M262" s="2" t="s">
        <v>22</v>
      </c>
      <c r="N262" s="2" t="s">
        <v>249</v>
      </c>
      <c r="O262" s="2" t="s">
        <v>118</v>
      </c>
      <c r="P262" s="2"/>
      <c r="Q262" s="4"/>
    </row>
    <row r="263">
      <c r="A263" s="2">
        <f t="shared" si="78"/>
        <v>10</v>
      </c>
      <c r="B263" s="3">
        <f t="shared" si="102"/>
        <v>46092</v>
      </c>
      <c r="C263" s="2" t="s">
        <v>45</v>
      </c>
      <c r="D263" s="2" t="s">
        <v>24</v>
      </c>
      <c r="E263" s="2" t="s">
        <v>25</v>
      </c>
      <c r="F263" s="4" t="str">
        <f>VLOOKUP($E263,Instructors!$A$2:$C693,3,FALSE)</f>
        <v>Self</v>
      </c>
      <c r="G263" s="4" t="str">
        <f t="shared" si="14"/>
        <v>NA</v>
      </c>
      <c r="H263" s="4" t="str">
        <f t="shared" si="3"/>
        <v/>
      </c>
      <c r="J263" s="4" t="str">
        <f>if($E263="Capstone","Capstone",if($E263="Holiday",""))</f>
        <v>Capstone</v>
      </c>
      <c r="K263" s="2" t="b">
        <f>if($E263="Holiday","NA")</f>
        <v>0</v>
      </c>
      <c r="M263" s="4" t="str">
        <f>if($E263="Holiday","Holiday",if($E263="Capstone","Capstone"))</f>
        <v>Capstone</v>
      </c>
      <c r="N263" s="4"/>
      <c r="O263" s="4"/>
      <c r="P263" s="4"/>
      <c r="Q263" s="4"/>
    </row>
    <row r="264">
      <c r="A264" s="2">
        <f t="shared" si="78"/>
        <v>10</v>
      </c>
      <c r="B264" s="3">
        <f t="shared" si="102"/>
        <v>46092</v>
      </c>
      <c r="C264" s="2" t="s">
        <v>45</v>
      </c>
      <c r="D264" s="2" t="s">
        <v>29</v>
      </c>
      <c r="E264" s="2" t="s">
        <v>245</v>
      </c>
      <c r="F264" s="4" t="str">
        <f>VLOOKUP($E264,Instructors!$A$2:$C693,3,FALSE)</f>
        <v>&gt;50</v>
      </c>
      <c r="G264" s="4" t="str">
        <f t="shared" si="14"/>
        <v/>
      </c>
      <c r="H264" s="4" t="str">
        <f t="shared" si="3"/>
        <v/>
      </c>
      <c r="I264" s="2" t="s">
        <v>250</v>
      </c>
      <c r="J264" s="2" t="s">
        <v>36</v>
      </c>
      <c r="K264" s="2">
        <v>90.0</v>
      </c>
      <c r="M264" s="2" t="s">
        <v>22</v>
      </c>
      <c r="N264" s="2" t="s">
        <v>251</v>
      </c>
      <c r="O264" s="2" t="s">
        <v>252</v>
      </c>
      <c r="P264" s="2" t="s">
        <v>55</v>
      </c>
      <c r="Q264" s="4"/>
    </row>
    <row r="265">
      <c r="A265" s="2">
        <f t="shared" si="78"/>
        <v>10</v>
      </c>
      <c r="B265" s="3">
        <f t="shared" si="102"/>
        <v>46092</v>
      </c>
      <c r="C265" s="2" t="s">
        <v>45</v>
      </c>
      <c r="D265" s="2" t="s">
        <v>31</v>
      </c>
      <c r="E265" s="2" t="s">
        <v>245</v>
      </c>
      <c r="F265" s="4" t="str">
        <f>VLOOKUP($E265,Instructors!$A$2:$C693,3,FALSE)</f>
        <v>&gt;50</v>
      </c>
      <c r="G265" s="4" t="str">
        <f t="shared" si="14"/>
        <v/>
      </c>
      <c r="H265" s="4" t="str">
        <f t="shared" si="3"/>
        <v/>
      </c>
      <c r="I265" s="2" t="s">
        <v>250</v>
      </c>
      <c r="J265" s="2" t="s">
        <v>36</v>
      </c>
      <c r="K265" s="2">
        <v>90.0</v>
      </c>
      <c r="M265" s="2" t="s">
        <v>153</v>
      </c>
      <c r="N265" s="2" t="s">
        <v>251</v>
      </c>
      <c r="O265" s="2" t="s">
        <v>38</v>
      </c>
      <c r="P265" s="2" t="s">
        <v>182</v>
      </c>
      <c r="Q265" s="4"/>
    </row>
    <row r="266">
      <c r="A266" s="2">
        <f t="shared" si="78"/>
        <v>10</v>
      </c>
      <c r="B266" s="3">
        <f t="shared" ref="B266:B269" si="103">B258+2</f>
        <v>46093</v>
      </c>
      <c r="C266" s="2" t="s">
        <v>57</v>
      </c>
      <c r="D266" s="2" t="s">
        <v>18</v>
      </c>
      <c r="E266" s="2" t="s">
        <v>160</v>
      </c>
      <c r="F266" s="4" t="str">
        <f>VLOOKUP($E266,Instructors!$A$2:$C693,3,FALSE)</f>
        <v>&lt;5</v>
      </c>
      <c r="G266" s="4" t="str">
        <f t="shared" si="14"/>
        <v/>
      </c>
      <c r="H266" s="4" t="str">
        <f t="shared" si="3"/>
        <v/>
      </c>
      <c r="I266" s="2" t="s">
        <v>253</v>
      </c>
      <c r="J266" s="2" t="s">
        <v>30</v>
      </c>
      <c r="K266" s="2">
        <v>90.0</v>
      </c>
      <c r="M266" s="2" t="s">
        <v>153</v>
      </c>
      <c r="N266" s="2" t="s">
        <v>120</v>
      </c>
      <c r="O266" s="4"/>
      <c r="P266" s="4"/>
      <c r="Q266" s="4"/>
    </row>
    <row r="267">
      <c r="A267" s="2">
        <f t="shared" si="78"/>
        <v>10</v>
      </c>
      <c r="B267" s="3">
        <f t="shared" si="103"/>
        <v>46093</v>
      </c>
      <c r="C267" s="2" t="s">
        <v>57</v>
      </c>
      <c r="D267" s="2" t="s">
        <v>24</v>
      </c>
      <c r="E267" s="2" t="s">
        <v>127</v>
      </c>
      <c r="F267" s="4" t="str">
        <f>VLOOKUP($E267,Instructors!$A$2:$C693,3,FALSE)</f>
        <v>&lt;5</v>
      </c>
      <c r="G267" s="4" t="str">
        <f t="shared" si="14"/>
        <v/>
      </c>
      <c r="H267" s="4" t="str">
        <f t="shared" si="3"/>
        <v/>
      </c>
      <c r="I267" s="2" t="s">
        <v>253</v>
      </c>
      <c r="J267" s="2" t="s">
        <v>30</v>
      </c>
      <c r="K267" s="2">
        <v>90.0</v>
      </c>
      <c r="M267" s="2" t="s">
        <v>153</v>
      </c>
      <c r="N267" s="2" t="s">
        <v>23</v>
      </c>
      <c r="O267" s="2" t="s">
        <v>105</v>
      </c>
      <c r="P267" s="2" t="s">
        <v>137</v>
      </c>
      <c r="Q267" s="4"/>
    </row>
    <row r="268">
      <c r="A268" s="2">
        <f t="shared" si="78"/>
        <v>10</v>
      </c>
      <c r="B268" s="3">
        <f t="shared" si="103"/>
        <v>46093</v>
      </c>
      <c r="C268" s="2" t="s">
        <v>57</v>
      </c>
      <c r="D268" s="2" t="s">
        <v>29</v>
      </c>
      <c r="E268" s="2" t="s">
        <v>160</v>
      </c>
      <c r="F268" s="4" t="str">
        <f>VLOOKUP($E268,Instructors!$A$2:$C693,3,FALSE)</f>
        <v>&lt;5</v>
      </c>
      <c r="G268" s="4" t="str">
        <f t="shared" si="14"/>
        <v/>
      </c>
      <c r="H268" s="4" t="str">
        <f t="shared" si="3"/>
        <v/>
      </c>
      <c r="I268" s="2" t="s">
        <v>253</v>
      </c>
      <c r="J268" s="2" t="s">
        <v>30</v>
      </c>
      <c r="K268" s="2">
        <v>90.0</v>
      </c>
      <c r="M268" s="2" t="s">
        <v>153</v>
      </c>
      <c r="N268" s="2" t="s">
        <v>249</v>
      </c>
      <c r="O268" s="2" t="s">
        <v>118</v>
      </c>
      <c r="P268" s="4"/>
      <c r="Q268" s="4"/>
    </row>
    <row r="269">
      <c r="A269" s="2">
        <f t="shared" si="78"/>
        <v>10</v>
      </c>
      <c r="B269" s="3">
        <f t="shared" si="103"/>
        <v>46093</v>
      </c>
      <c r="C269" s="2" t="s">
        <v>57</v>
      </c>
      <c r="D269" s="2" t="s">
        <v>31</v>
      </c>
      <c r="E269" s="2" t="s">
        <v>245</v>
      </c>
      <c r="F269" s="4" t="str">
        <f>VLOOKUP($E269,Instructors!$A$2:$C693,3,FALSE)</f>
        <v>&gt;50</v>
      </c>
      <c r="G269" s="4" t="str">
        <f t="shared" si="14"/>
        <v/>
      </c>
      <c r="H269" s="4" t="str">
        <f t="shared" si="3"/>
        <v/>
      </c>
      <c r="I269" s="2" t="s">
        <v>254</v>
      </c>
      <c r="J269" s="2" t="s">
        <v>36</v>
      </c>
      <c r="K269" s="2">
        <v>90.0</v>
      </c>
      <c r="M269" s="2" t="s">
        <v>153</v>
      </c>
      <c r="N269" s="2" t="s">
        <v>183</v>
      </c>
      <c r="O269" s="2" t="s">
        <v>251</v>
      </c>
      <c r="P269" s="2" t="s">
        <v>251</v>
      </c>
      <c r="Q269" s="4"/>
    </row>
    <row r="270">
      <c r="A270" s="2">
        <f t="shared" si="78"/>
        <v>10</v>
      </c>
      <c r="B270" s="3">
        <f t="shared" ref="B270:B273" si="104">B266+1</f>
        <v>46094</v>
      </c>
      <c r="C270" s="2" t="s">
        <v>73</v>
      </c>
      <c r="D270" s="2" t="s">
        <v>18</v>
      </c>
      <c r="E270" s="2" t="s">
        <v>25</v>
      </c>
      <c r="F270" s="4" t="str">
        <f>VLOOKUP($E270,Instructors!$A$2:$C693,3,FALSE)</f>
        <v>Self</v>
      </c>
      <c r="G270" s="4" t="str">
        <f t="shared" si="14"/>
        <v>NA</v>
      </c>
      <c r="H270" s="4" t="str">
        <f t="shared" si="3"/>
        <v/>
      </c>
      <c r="J270" s="4" t="str">
        <f>if($E270="Capstone","Capstone",if($E270="Holiday",""))</f>
        <v>Capstone</v>
      </c>
      <c r="K270" s="2" t="b">
        <f t="shared" ref="K270:K271" si="105">if($E270="Holiday","NA")</f>
        <v>0</v>
      </c>
      <c r="M270" s="4" t="str">
        <f t="shared" ref="M270:M271" si="106">if($E270="Holiday","Holiday",if($E270="Capstone","Capstone"))</f>
        <v>Capstone</v>
      </c>
      <c r="N270" s="2" t="s">
        <v>183</v>
      </c>
      <c r="O270" s="2" t="s">
        <v>38</v>
      </c>
      <c r="P270" s="2" t="s">
        <v>251</v>
      </c>
      <c r="Q270" s="2" t="s">
        <v>255</v>
      </c>
    </row>
    <row r="271">
      <c r="A271" s="2">
        <f t="shared" si="78"/>
        <v>10</v>
      </c>
      <c r="B271" s="3">
        <f t="shared" si="104"/>
        <v>46094</v>
      </c>
      <c r="C271" s="2" t="s">
        <v>73</v>
      </c>
      <c r="D271" s="2" t="s">
        <v>24</v>
      </c>
      <c r="E271" s="2" t="s">
        <v>25</v>
      </c>
      <c r="F271" s="4" t="str">
        <f>VLOOKUP($E271,Instructors!$A$2:$C693,3,FALSE)</f>
        <v>Self</v>
      </c>
      <c r="G271" s="4" t="str">
        <f t="shared" si="14"/>
        <v>NA</v>
      </c>
      <c r="H271" s="4" t="str">
        <f t="shared" si="3"/>
        <v/>
      </c>
      <c r="I271" s="2"/>
      <c r="J271" s="2"/>
      <c r="K271" s="2" t="b">
        <f t="shared" si="105"/>
        <v>0</v>
      </c>
      <c r="M271" s="4" t="str">
        <f t="shared" si="106"/>
        <v>Capstone</v>
      </c>
      <c r="N271" s="4"/>
      <c r="O271" s="4"/>
      <c r="P271" s="4"/>
      <c r="Q271" s="4"/>
    </row>
    <row r="272">
      <c r="A272" s="2">
        <f t="shared" si="78"/>
        <v>10</v>
      </c>
      <c r="B272" s="3">
        <f t="shared" si="104"/>
        <v>46094</v>
      </c>
      <c r="C272" s="2" t="s">
        <v>73</v>
      </c>
      <c r="D272" s="2" t="s">
        <v>29</v>
      </c>
      <c r="E272" s="2" t="s">
        <v>245</v>
      </c>
      <c r="F272" s="4" t="str">
        <f>VLOOKUP($E272,Instructors!$A$2:$C693,3,FALSE)</f>
        <v>&gt;50</v>
      </c>
      <c r="G272" s="4" t="str">
        <f t="shared" si="14"/>
        <v/>
      </c>
      <c r="H272" s="4" t="str">
        <f t="shared" si="3"/>
        <v/>
      </c>
      <c r="I272" s="2" t="s">
        <v>256</v>
      </c>
      <c r="J272" s="2" t="s">
        <v>36</v>
      </c>
      <c r="K272" s="2">
        <v>90.0</v>
      </c>
      <c r="M272" s="2" t="s">
        <v>27</v>
      </c>
      <c r="N272" s="2" t="s">
        <v>255</v>
      </c>
      <c r="O272" s="4"/>
      <c r="P272" s="4"/>
      <c r="Q272" s="4"/>
    </row>
    <row r="273">
      <c r="A273" s="2">
        <f t="shared" si="78"/>
        <v>10</v>
      </c>
      <c r="B273" s="3">
        <f t="shared" si="104"/>
        <v>46094</v>
      </c>
      <c r="C273" s="2" t="s">
        <v>73</v>
      </c>
      <c r="D273" s="2" t="s">
        <v>31</v>
      </c>
      <c r="E273" s="2" t="s">
        <v>245</v>
      </c>
      <c r="F273" s="4" t="str">
        <f>VLOOKUP($E273,Instructors!$A$2:$C693,3,FALSE)</f>
        <v>&gt;50</v>
      </c>
      <c r="G273" s="4" t="str">
        <f t="shared" si="14"/>
        <v/>
      </c>
      <c r="H273" s="4" t="str">
        <f t="shared" si="3"/>
        <v/>
      </c>
      <c r="I273" s="2" t="s">
        <v>257</v>
      </c>
      <c r="J273" s="2" t="s">
        <v>36</v>
      </c>
      <c r="K273" s="2">
        <v>90.0</v>
      </c>
      <c r="M273" s="2" t="s">
        <v>27</v>
      </c>
      <c r="N273" s="2" t="s">
        <v>179</v>
      </c>
      <c r="O273" s="4"/>
      <c r="P273" s="4"/>
      <c r="Q273" s="4"/>
    </row>
    <row r="274">
      <c r="A274" s="2">
        <f t="shared" si="78"/>
        <v>10</v>
      </c>
      <c r="B274" s="3">
        <f t="shared" ref="B274:B281" si="107">B266+2</f>
        <v>46095</v>
      </c>
      <c r="C274" s="2" t="s">
        <v>86</v>
      </c>
      <c r="D274" s="2" t="s">
        <v>18</v>
      </c>
      <c r="E274" s="2" t="s">
        <v>92</v>
      </c>
      <c r="F274" s="4" t="str">
        <f>VLOOKUP($E274,Instructors!$A$2:$C693,3,FALSE)</f>
        <v/>
      </c>
      <c r="G274" s="4" t="str">
        <f t="shared" si="14"/>
        <v>NA</v>
      </c>
      <c r="H274" s="4" t="str">
        <f t="shared" si="3"/>
        <v>NA</v>
      </c>
      <c r="J274" s="4" t="str">
        <f t="shared" ref="J274:J281" si="108">if($E274="Capstone","Capstone",if($E274="Holiday",""))</f>
        <v/>
      </c>
      <c r="K274" s="2" t="str">
        <f t="shared" ref="K274:K281" si="109">if($E274="Holiday","NA")</f>
        <v>NA</v>
      </c>
      <c r="M274" s="4" t="str">
        <f t="shared" ref="M274:M281" si="110">if($E274="Holiday","Holiday",if($E274="Capstone","Capstone"))</f>
        <v>Holiday</v>
      </c>
      <c r="N274" s="4"/>
      <c r="O274" s="4"/>
      <c r="P274" s="4"/>
      <c r="Q274" s="4"/>
    </row>
    <row r="275">
      <c r="A275" s="2">
        <f t="shared" si="78"/>
        <v>10</v>
      </c>
      <c r="B275" s="3">
        <f t="shared" si="107"/>
        <v>46095</v>
      </c>
      <c r="C275" s="2" t="s">
        <v>86</v>
      </c>
      <c r="D275" s="2" t="s">
        <v>24</v>
      </c>
      <c r="E275" s="2" t="s">
        <v>92</v>
      </c>
      <c r="F275" s="4" t="str">
        <f>VLOOKUP($E275,Instructors!$A$2:$C693,3,FALSE)</f>
        <v/>
      </c>
      <c r="G275" s="4" t="str">
        <f t="shared" si="14"/>
        <v>NA</v>
      </c>
      <c r="H275" s="4" t="str">
        <f t="shared" si="3"/>
        <v>NA</v>
      </c>
      <c r="J275" s="4" t="str">
        <f t="shared" si="108"/>
        <v/>
      </c>
      <c r="K275" s="2" t="str">
        <f t="shared" si="109"/>
        <v>NA</v>
      </c>
      <c r="M275" s="4" t="str">
        <f t="shared" si="110"/>
        <v>Holiday</v>
      </c>
      <c r="N275" s="4"/>
      <c r="O275" s="4"/>
      <c r="P275" s="4"/>
      <c r="Q275" s="4"/>
    </row>
    <row r="276">
      <c r="A276" s="2">
        <f t="shared" si="78"/>
        <v>10</v>
      </c>
      <c r="B276" s="3">
        <f t="shared" si="107"/>
        <v>46095</v>
      </c>
      <c r="C276" s="2" t="s">
        <v>86</v>
      </c>
      <c r="D276" s="2" t="s">
        <v>29</v>
      </c>
      <c r="E276" s="2" t="s">
        <v>92</v>
      </c>
      <c r="F276" s="4" t="str">
        <f>VLOOKUP($E276,Instructors!$A$2:$C693,3,FALSE)</f>
        <v/>
      </c>
      <c r="G276" s="4" t="str">
        <f t="shared" si="14"/>
        <v>NA</v>
      </c>
      <c r="H276" s="4" t="str">
        <f t="shared" si="3"/>
        <v>NA</v>
      </c>
      <c r="J276" s="4" t="str">
        <f t="shared" si="108"/>
        <v/>
      </c>
      <c r="K276" s="2" t="str">
        <f t="shared" si="109"/>
        <v>NA</v>
      </c>
      <c r="M276" s="4" t="str">
        <f t="shared" si="110"/>
        <v>Holiday</v>
      </c>
      <c r="N276" s="4"/>
      <c r="O276" s="4"/>
      <c r="P276" s="4"/>
      <c r="Q276" s="4"/>
    </row>
    <row r="277">
      <c r="A277" s="2">
        <f t="shared" si="78"/>
        <v>10</v>
      </c>
      <c r="B277" s="3">
        <f t="shared" si="107"/>
        <v>46095</v>
      </c>
      <c r="C277" s="2" t="s">
        <v>86</v>
      </c>
      <c r="D277" s="2" t="s">
        <v>31</v>
      </c>
      <c r="E277" s="2" t="s">
        <v>92</v>
      </c>
      <c r="F277" s="4" t="str">
        <f>VLOOKUP($E277,Instructors!$A$2:$C693,3,FALSE)</f>
        <v/>
      </c>
      <c r="G277" s="4" t="str">
        <f t="shared" si="14"/>
        <v>NA</v>
      </c>
      <c r="H277" s="4" t="str">
        <f t="shared" si="3"/>
        <v>NA</v>
      </c>
      <c r="J277" s="4" t="str">
        <f t="shared" si="108"/>
        <v/>
      </c>
      <c r="K277" s="2" t="str">
        <f t="shared" si="109"/>
        <v>NA</v>
      </c>
      <c r="M277" s="4" t="str">
        <f t="shared" si="110"/>
        <v>Holiday</v>
      </c>
      <c r="N277" s="4"/>
      <c r="O277" s="4"/>
      <c r="P277" s="4"/>
      <c r="Q277" s="4"/>
    </row>
    <row r="278">
      <c r="A278" s="2">
        <f t="shared" si="78"/>
        <v>10</v>
      </c>
      <c r="B278" s="3">
        <f t="shared" si="107"/>
        <v>46096</v>
      </c>
      <c r="C278" s="2" t="s">
        <v>93</v>
      </c>
      <c r="D278" s="2" t="s">
        <v>18</v>
      </c>
      <c r="E278" s="2" t="s">
        <v>92</v>
      </c>
      <c r="F278" s="4" t="str">
        <f>VLOOKUP($E278,Instructors!$A$2:$C693,3,FALSE)</f>
        <v/>
      </c>
      <c r="G278" s="4" t="str">
        <f t="shared" si="14"/>
        <v>NA</v>
      </c>
      <c r="H278" s="4" t="str">
        <f t="shared" si="3"/>
        <v>NA</v>
      </c>
      <c r="J278" s="4" t="str">
        <f t="shared" si="108"/>
        <v/>
      </c>
      <c r="K278" s="2" t="str">
        <f t="shared" si="109"/>
        <v>NA</v>
      </c>
      <c r="M278" s="4" t="str">
        <f t="shared" si="110"/>
        <v>Holiday</v>
      </c>
      <c r="N278" s="4"/>
      <c r="O278" s="4"/>
      <c r="P278" s="4"/>
      <c r="Q278" s="4"/>
    </row>
    <row r="279">
      <c r="A279" s="2">
        <f t="shared" si="78"/>
        <v>10</v>
      </c>
      <c r="B279" s="3">
        <f t="shared" si="107"/>
        <v>46096</v>
      </c>
      <c r="C279" s="2" t="s">
        <v>93</v>
      </c>
      <c r="D279" s="2" t="s">
        <v>24</v>
      </c>
      <c r="E279" s="2" t="s">
        <v>92</v>
      </c>
      <c r="F279" s="4" t="str">
        <f>VLOOKUP($E279,Instructors!$A$2:$C693,3,FALSE)</f>
        <v/>
      </c>
      <c r="G279" s="4" t="str">
        <f t="shared" si="14"/>
        <v>NA</v>
      </c>
      <c r="H279" s="4" t="str">
        <f t="shared" si="3"/>
        <v>NA</v>
      </c>
      <c r="J279" s="4" t="str">
        <f t="shared" si="108"/>
        <v/>
      </c>
      <c r="K279" s="2" t="str">
        <f t="shared" si="109"/>
        <v>NA</v>
      </c>
      <c r="M279" s="4" t="str">
        <f t="shared" si="110"/>
        <v>Holiday</v>
      </c>
      <c r="N279" s="4"/>
      <c r="O279" s="4"/>
      <c r="P279" s="4"/>
      <c r="Q279" s="4"/>
    </row>
    <row r="280">
      <c r="A280" s="2">
        <f t="shared" si="78"/>
        <v>10</v>
      </c>
      <c r="B280" s="3">
        <f t="shared" si="107"/>
        <v>46096</v>
      </c>
      <c r="C280" s="2" t="s">
        <v>93</v>
      </c>
      <c r="D280" s="2" t="s">
        <v>29</v>
      </c>
      <c r="E280" s="2" t="s">
        <v>92</v>
      </c>
      <c r="F280" s="4" t="str">
        <f>VLOOKUP($E280,Instructors!$A$2:$C693,3,FALSE)</f>
        <v/>
      </c>
      <c r="G280" s="4" t="str">
        <f t="shared" si="14"/>
        <v>NA</v>
      </c>
      <c r="H280" s="4" t="str">
        <f t="shared" si="3"/>
        <v>NA</v>
      </c>
      <c r="J280" s="4" t="str">
        <f t="shared" si="108"/>
        <v/>
      </c>
      <c r="K280" s="2" t="str">
        <f t="shared" si="109"/>
        <v>NA</v>
      </c>
      <c r="M280" s="4" t="str">
        <f t="shared" si="110"/>
        <v>Holiday</v>
      </c>
      <c r="N280" s="4"/>
      <c r="O280" s="4"/>
      <c r="P280" s="4"/>
      <c r="Q280" s="4"/>
    </row>
    <row r="281">
      <c r="A281" s="2">
        <f t="shared" si="78"/>
        <v>10</v>
      </c>
      <c r="B281" s="3">
        <f t="shared" si="107"/>
        <v>46096</v>
      </c>
      <c r="C281" s="2" t="s">
        <v>93</v>
      </c>
      <c r="D281" s="2" t="s">
        <v>31</v>
      </c>
      <c r="E281" s="2" t="s">
        <v>92</v>
      </c>
      <c r="F281" s="4" t="str">
        <f>VLOOKUP($E281,Instructors!$A$2:$C693,3,FALSE)</f>
        <v/>
      </c>
      <c r="G281" s="4" t="str">
        <f t="shared" si="14"/>
        <v>NA</v>
      </c>
      <c r="H281" s="4" t="str">
        <f t="shared" si="3"/>
        <v>NA</v>
      </c>
      <c r="J281" s="4" t="str">
        <f t="shared" si="108"/>
        <v/>
      </c>
      <c r="K281" s="2" t="str">
        <f t="shared" si="109"/>
        <v>NA</v>
      </c>
      <c r="M281" s="4" t="str">
        <f t="shared" si="110"/>
        <v>Holiday</v>
      </c>
      <c r="N281" s="4"/>
      <c r="O281" s="4"/>
      <c r="P281" s="4"/>
      <c r="Q281" s="4"/>
    </row>
    <row r="282">
      <c r="A282" s="2">
        <f t="shared" si="78"/>
        <v>11</v>
      </c>
      <c r="B282" s="3">
        <f t="shared" ref="B282:B285" si="111">B278+1</f>
        <v>46097</v>
      </c>
      <c r="C282" s="2" t="s">
        <v>17</v>
      </c>
      <c r="D282" s="2" t="s">
        <v>18</v>
      </c>
      <c r="E282" s="2" t="s">
        <v>19</v>
      </c>
      <c r="F282" s="4" t="str">
        <f>VLOOKUP($E282,Instructors!$A$2:$C693,3,FALSE)</f>
        <v>&gt;20</v>
      </c>
      <c r="G282" s="4" t="str">
        <f t="shared" si="14"/>
        <v/>
      </c>
      <c r="H282" s="4" t="str">
        <f t="shared" si="3"/>
        <v/>
      </c>
      <c r="I282" s="2" t="s">
        <v>258</v>
      </c>
      <c r="J282" s="2"/>
      <c r="K282" s="2">
        <v>90.0</v>
      </c>
      <c r="M282" s="2" t="s">
        <v>22</v>
      </c>
      <c r="N282" s="2"/>
      <c r="O282" s="2"/>
      <c r="P282" s="2"/>
      <c r="Q282" s="4"/>
    </row>
    <row r="283">
      <c r="A283" s="2">
        <f t="shared" si="78"/>
        <v>11</v>
      </c>
      <c r="B283" s="3">
        <f t="shared" si="111"/>
        <v>46097</v>
      </c>
      <c r="C283" s="2" t="s">
        <v>17</v>
      </c>
      <c r="D283" s="2" t="s">
        <v>24</v>
      </c>
      <c r="E283" s="2" t="s">
        <v>19</v>
      </c>
      <c r="F283" s="4" t="str">
        <f>VLOOKUP($E283,Instructors!$A$2:$C693,3,FALSE)</f>
        <v>&gt;20</v>
      </c>
      <c r="G283" s="4" t="str">
        <f t="shared" si="14"/>
        <v/>
      </c>
      <c r="H283" s="4" t="str">
        <f t="shared" si="3"/>
        <v/>
      </c>
      <c r="I283" s="2" t="s">
        <v>259</v>
      </c>
      <c r="J283" s="2"/>
      <c r="K283" s="2">
        <v>90.0</v>
      </c>
      <c r="M283" s="2" t="s">
        <v>27</v>
      </c>
      <c r="N283" s="2"/>
      <c r="O283" s="2"/>
      <c r="P283" s="2"/>
      <c r="Q283" s="4"/>
    </row>
    <row r="284">
      <c r="A284" s="2">
        <f t="shared" si="78"/>
        <v>11</v>
      </c>
      <c r="B284" s="3">
        <f t="shared" si="111"/>
        <v>46097</v>
      </c>
      <c r="C284" s="2" t="s">
        <v>17</v>
      </c>
      <c r="D284" s="2" t="s">
        <v>29</v>
      </c>
      <c r="E284" s="2" t="s">
        <v>25</v>
      </c>
      <c r="F284" s="4" t="str">
        <f>VLOOKUP($E284,Instructors!$A$2:$C693,3,FALSE)</f>
        <v>Self</v>
      </c>
      <c r="G284" s="4" t="str">
        <f t="shared" si="14"/>
        <v>NA</v>
      </c>
      <c r="H284" s="4" t="str">
        <f t="shared" si="3"/>
        <v/>
      </c>
      <c r="J284" s="4" t="str">
        <f>if($E284="Capstone","Capstone",if($E284="Holiday",""))</f>
        <v>Capstone</v>
      </c>
      <c r="K284" s="2" t="b">
        <f>if($E284="Holiday","NA")</f>
        <v>0</v>
      </c>
      <c r="M284" s="4" t="str">
        <f>if($E284="Holiday","Holiday",if($E284="Capstone","Capstone"))</f>
        <v>Capstone</v>
      </c>
      <c r="N284" s="4"/>
      <c r="O284" s="4"/>
      <c r="P284" s="4"/>
      <c r="Q284" s="4"/>
    </row>
    <row r="285">
      <c r="A285" s="2">
        <f t="shared" si="78"/>
        <v>11</v>
      </c>
      <c r="B285" s="3">
        <f t="shared" si="111"/>
        <v>46097</v>
      </c>
      <c r="C285" s="2" t="s">
        <v>17</v>
      </c>
      <c r="D285" s="2" t="s">
        <v>31</v>
      </c>
      <c r="E285" s="2" t="s">
        <v>127</v>
      </c>
      <c r="F285" s="4" t="str">
        <f>VLOOKUP($E285,Instructors!$A$2:$C693,3,FALSE)</f>
        <v>&lt;5</v>
      </c>
      <c r="G285" s="4" t="str">
        <f t="shared" si="14"/>
        <v/>
      </c>
      <c r="H285" s="4" t="str">
        <f t="shared" si="3"/>
        <v/>
      </c>
      <c r="I285" s="2" t="s">
        <v>260</v>
      </c>
      <c r="J285" s="2" t="s">
        <v>141</v>
      </c>
      <c r="K285" s="2">
        <v>90.0</v>
      </c>
      <c r="M285" s="2" t="s">
        <v>27</v>
      </c>
      <c r="N285" s="2" t="s">
        <v>41</v>
      </c>
      <c r="O285" s="4"/>
      <c r="P285" s="4"/>
      <c r="Q285" s="4"/>
    </row>
    <row r="286">
      <c r="A286" s="2">
        <f t="shared" si="78"/>
        <v>11</v>
      </c>
      <c r="B286" s="3">
        <f t="shared" ref="B286:B289" si="112">B278+2</f>
        <v>46098</v>
      </c>
      <c r="C286" s="2" t="s">
        <v>33</v>
      </c>
      <c r="D286" s="2" t="s">
        <v>18</v>
      </c>
      <c r="E286" s="2" t="s">
        <v>160</v>
      </c>
      <c r="F286" s="4" t="str">
        <f>VLOOKUP($E286,Instructors!$A$2:$C693,3,FALSE)</f>
        <v>&lt;5</v>
      </c>
      <c r="G286" s="4" t="str">
        <f t="shared" si="14"/>
        <v/>
      </c>
      <c r="H286" s="4" t="str">
        <f t="shared" si="3"/>
        <v/>
      </c>
      <c r="I286" s="2" t="s">
        <v>242</v>
      </c>
      <c r="J286" s="2"/>
      <c r="K286" s="2" t="b">
        <f t="shared" ref="K286:K288" si="113">if($E286="Holiday","NA")</f>
        <v>0</v>
      </c>
      <c r="M286" s="4" t="b">
        <f t="shared" ref="M286:M288" si="114">if($E286="Holiday","Holiday",if($E286="Capstone","Capstone"))</f>
        <v>0</v>
      </c>
      <c r="N286" s="2"/>
      <c r="O286" s="2"/>
      <c r="P286" s="2"/>
      <c r="Q286" s="4"/>
    </row>
    <row r="287">
      <c r="A287" s="2">
        <f t="shared" si="78"/>
        <v>11</v>
      </c>
      <c r="B287" s="3">
        <f t="shared" si="112"/>
        <v>46098</v>
      </c>
      <c r="C287" s="2" t="s">
        <v>33</v>
      </c>
      <c r="D287" s="2" t="s">
        <v>24</v>
      </c>
      <c r="E287" s="2" t="s">
        <v>25</v>
      </c>
      <c r="F287" s="4" t="str">
        <f>VLOOKUP($E287,Instructors!$A$2:$C693,3,FALSE)</f>
        <v>Self</v>
      </c>
      <c r="G287" s="4" t="str">
        <f t="shared" si="14"/>
        <v>NA</v>
      </c>
      <c r="H287" s="4" t="str">
        <f t="shared" si="3"/>
        <v/>
      </c>
      <c r="I287" s="2" t="s">
        <v>261</v>
      </c>
      <c r="J287" s="2" t="s">
        <v>36</v>
      </c>
      <c r="K287" s="2" t="b">
        <f t="shared" si="113"/>
        <v>0</v>
      </c>
      <c r="M287" s="4" t="str">
        <f t="shared" si="114"/>
        <v>Capstone</v>
      </c>
      <c r="N287" s="2"/>
      <c r="O287" s="2"/>
      <c r="P287" s="2"/>
      <c r="Q287" s="2"/>
    </row>
    <row r="288">
      <c r="A288" s="2">
        <f t="shared" si="78"/>
        <v>11</v>
      </c>
      <c r="B288" s="3">
        <f t="shared" si="112"/>
        <v>46098</v>
      </c>
      <c r="C288" s="2" t="s">
        <v>33</v>
      </c>
      <c r="D288" s="2" t="s">
        <v>29</v>
      </c>
      <c r="E288" s="2" t="s">
        <v>25</v>
      </c>
      <c r="F288" s="4" t="str">
        <f>VLOOKUP($E288,Instructors!$A$2:$C693,3,FALSE)</f>
        <v>Self</v>
      </c>
      <c r="G288" s="4" t="str">
        <f t="shared" si="14"/>
        <v>NA</v>
      </c>
      <c r="H288" s="4" t="str">
        <f t="shared" si="3"/>
        <v/>
      </c>
      <c r="I288" s="2"/>
      <c r="J288" s="4" t="str">
        <f>if($E288="Capstone","Capstone",if($E288="Holiday",""))</f>
        <v>Capstone</v>
      </c>
      <c r="K288" s="2" t="b">
        <f t="shared" si="113"/>
        <v>0</v>
      </c>
      <c r="M288" s="4" t="str">
        <f t="shared" si="114"/>
        <v>Capstone</v>
      </c>
      <c r="N288" s="4"/>
      <c r="O288" s="4"/>
      <c r="P288" s="4"/>
      <c r="Q288" s="4"/>
    </row>
    <row r="289">
      <c r="A289" s="2">
        <f t="shared" si="78"/>
        <v>11</v>
      </c>
      <c r="B289" s="3">
        <f t="shared" si="112"/>
        <v>46098</v>
      </c>
      <c r="C289" s="2" t="s">
        <v>33</v>
      </c>
      <c r="D289" s="2" t="s">
        <v>31</v>
      </c>
      <c r="E289" s="2" t="s">
        <v>127</v>
      </c>
      <c r="F289" s="4" t="str">
        <f>VLOOKUP($E289,Instructors!$A$2:$C693,3,FALSE)</f>
        <v>&lt;5</v>
      </c>
      <c r="G289" s="4" t="str">
        <f t="shared" si="14"/>
        <v/>
      </c>
      <c r="H289" s="4" t="str">
        <f t="shared" si="3"/>
        <v/>
      </c>
      <c r="I289" s="2" t="s">
        <v>262</v>
      </c>
      <c r="J289" s="2" t="s">
        <v>36</v>
      </c>
      <c r="K289" s="2">
        <v>90.0</v>
      </c>
      <c r="M289" s="2" t="s">
        <v>22</v>
      </c>
      <c r="N289" s="2" t="s">
        <v>235</v>
      </c>
      <c r="O289" s="2" t="s">
        <v>227</v>
      </c>
      <c r="P289" s="4"/>
      <c r="Q289" s="4"/>
    </row>
    <row r="290">
      <c r="A290" s="2">
        <f t="shared" si="78"/>
        <v>11</v>
      </c>
      <c r="B290" s="3">
        <f t="shared" ref="B290:B293" si="115">B286+1</f>
        <v>46099</v>
      </c>
      <c r="C290" s="2" t="s">
        <v>45</v>
      </c>
      <c r="D290" s="2" t="s">
        <v>18</v>
      </c>
      <c r="E290" s="2" t="s">
        <v>25</v>
      </c>
      <c r="F290" s="4" t="str">
        <f>VLOOKUP($E290,Instructors!$A$2:$C693,3,FALSE)</f>
        <v>Self</v>
      </c>
      <c r="G290" s="4" t="str">
        <f t="shared" si="14"/>
        <v>NA</v>
      </c>
      <c r="H290" s="4" t="str">
        <f t="shared" si="3"/>
        <v/>
      </c>
      <c r="J290" s="4" t="str">
        <f t="shared" ref="J290:J293" si="116">if($E290="Capstone","Capstone",if($E290="Holiday",""))</f>
        <v>Capstone</v>
      </c>
      <c r="K290" s="2" t="b">
        <f t="shared" ref="K290:K293" si="117">if($E290="Holiday","NA")</f>
        <v>0</v>
      </c>
      <c r="M290" s="4" t="str">
        <f t="shared" ref="M290:M293" si="118">if($E290="Holiday","Holiday",if($E290="Capstone","Capstone"))</f>
        <v>Capstone</v>
      </c>
      <c r="N290" s="4"/>
      <c r="O290" s="4"/>
      <c r="P290" s="4"/>
      <c r="Q290" s="4"/>
    </row>
    <row r="291">
      <c r="A291" s="2">
        <f t="shared" si="78"/>
        <v>11</v>
      </c>
      <c r="B291" s="3">
        <f t="shared" si="115"/>
        <v>46099</v>
      </c>
      <c r="C291" s="2" t="s">
        <v>45</v>
      </c>
      <c r="D291" s="2" t="s">
        <v>24</v>
      </c>
      <c r="E291" s="2" t="s">
        <v>25</v>
      </c>
      <c r="F291" s="4" t="str">
        <f>VLOOKUP($E291,Instructors!$A$2:$C693,3,FALSE)</f>
        <v>Self</v>
      </c>
      <c r="G291" s="4" t="str">
        <f t="shared" si="14"/>
        <v>NA</v>
      </c>
      <c r="H291" s="4" t="str">
        <f t="shared" si="3"/>
        <v/>
      </c>
      <c r="J291" s="4" t="str">
        <f t="shared" si="116"/>
        <v>Capstone</v>
      </c>
      <c r="K291" s="2" t="b">
        <f t="shared" si="117"/>
        <v>0</v>
      </c>
      <c r="M291" s="4" t="str">
        <f t="shared" si="118"/>
        <v>Capstone</v>
      </c>
      <c r="N291" s="4"/>
      <c r="O291" s="4"/>
      <c r="P291" s="4"/>
      <c r="Q291" s="4"/>
    </row>
    <row r="292">
      <c r="A292" s="2">
        <f t="shared" si="78"/>
        <v>11</v>
      </c>
      <c r="B292" s="3">
        <f t="shared" si="115"/>
        <v>46099</v>
      </c>
      <c r="C292" s="2" t="s">
        <v>45</v>
      </c>
      <c r="D292" s="2" t="s">
        <v>29</v>
      </c>
      <c r="E292" s="2" t="s">
        <v>25</v>
      </c>
      <c r="F292" s="4" t="str">
        <f>VLOOKUP($E292,Instructors!$A$2:$C693,3,FALSE)</f>
        <v>Self</v>
      </c>
      <c r="G292" s="4" t="str">
        <f t="shared" si="14"/>
        <v>NA</v>
      </c>
      <c r="H292" s="4" t="str">
        <f t="shared" si="3"/>
        <v/>
      </c>
      <c r="I292" s="2" t="s">
        <v>263</v>
      </c>
      <c r="J292" s="4" t="str">
        <f t="shared" si="116"/>
        <v>Capstone</v>
      </c>
      <c r="K292" s="2" t="b">
        <f t="shared" si="117"/>
        <v>0</v>
      </c>
      <c r="M292" s="4" t="str">
        <f t="shared" si="118"/>
        <v>Capstone</v>
      </c>
      <c r="N292" s="4"/>
      <c r="O292" s="4"/>
      <c r="P292" s="4"/>
      <c r="Q292" s="4"/>
    </row>
    <row r="293">
      <c r="A293" s="2">
        <f t="shared" si="78"/>
        <v>11</v>
      </c>
      <c r="B293" s="3">
        <f t="shared" si="115"/>
        <v>46099</v>
      </c>
      <c r="C293" s="2" t="s">
        <v>45</v>
      </c>
      <c r="D293" s="2" t="s">
        <v>31</v>
      </c>
      <c r="E293" s="2" t="s">
        <v>25</v>
      </c>
      <c r="F293" s="4" t="str">
        <f>VLOOKUP($E293,Instructors!$A$2:$C693,3,FALSE)</f>
        <v>Self</v>
      </c>
      <c r="G293" s="4" t="str">
        <f t="shared" si="14"/>
        <v>NA</v>
      </c>
      <c r="H293" s="4" t="str">
        <f t="shared" si="3"/>
        <v/>
      </c>
      <c r="J293" s="4" t="str">
        <f t="shared" si="116"/>
        <v>Capstone</v>
      </c>
      <c r="K293" s="2" t="b">
        <f t="shared" si="117"/>
        <v>0</v>
      </c>
      <c r="M293" s="4" t="str">
        <f t="shared" si="118"/>
        <v>Capstone</v>
      </c>
      <c r="N293" s="4"/>
      <c r="O293" s="4"/>
      <c r="P293" s="4"/>
      <c r="Q293" s="4"/>
    </row>
    <row r="294">
      <c r="A294" s="2">
        <f t="shared" si="78"/>
        <v>11</v>
      </c>
      <c r="B294" s="3">
        <f t="shared" ref="B294:B297" si="119">B286+2</f>
        <v>46100</v>
      </c>
      <c r="C294" s="2" t="s">
        <v>57</v>
      </c>
      <c r="D294" s="2" t="s">
        <v>18</v>
      </c>
      <c r="E294" s="2" t="s">
        <v>127</v>
      </c>
      <c r="F294" s="4" t="str">
        <f>VLOOKUP($E294,Instructors!$A$2:$C693,3,FALSE)</f>
        <v>&lt;5</v>
      </c>
      <c r="G294" s="4" t="str">
        <f t="shared" si="14"/>
        <v/>
      </c>
      <c r="H294" s="4" t="str">
        <f t="shared" si="3"/>
        <v/>
      </c>
      <c r="I294" s="2" t="s">
        <v>264</v>
      </c>
      <c r="J294" s="2" t="s">
        <v>36</v>
      </c>
      <c r="K294" s="2">
        <v>90.0</v>
      </c>
      <c r="M294" s="2" t="s">
        <v>22</v>
      </c>
      <c r="N294" s="2" t="s">
        <v>235</v>
      </c>
      <c r="O294" s="4"/>
      <c r="P294" s="4"/>
      <c r="Q294" s="4"/>
    </row>
    <row r="295">
      <c r="A295" s="2">
        <f t="shared" si="78"/>
        <v>11</v>
      </c>
      <c r="B295" s="3">
        <f t="shared" si="119"/>
        <v>46100</v>
      </c>
      <c r="C295" s="2" t="s">
        <v>57</v>
      </c>
      <c r="D295" s="2" t="s">
        <v>24</v>
      </c>
      <c r="E295" s="2" t="s">
        <v>127</v>
      </c>
      <c r="F295" s="4" t="str">
        <f>VLOOKUP($E295,Instructors!$A$2:$C693,3,FALSE)</f>
        <v>&lt;5</v>
      </c>
      <c r="G295" s="4" t="str">
        <f t="shared" si="14"/>
        <v/>
      </c>
      <c r="H295" s="4" t="str">
        <f t="shared" si="3"/>
        <v/>
      </c>
      <c r="I295" s="2" t="s">
        <v>264</v>
      </c>
      <c r="J295" s="2" t="s">
        <v>36</v>
      </c>
      <c r="K295" s="2">
        <v>90.0</v>
      </c>
      <c r="M295" s="2" t="s">
        <v>22</v>
      </c>
      <c r="N295" s="2" t="s">
        <v>235</v>
      </c>
      <c r="O295" s="4"/>
      <c r="P295" s="4"/>
      <c r="Q295" s="4"/>
    </row>
    <row r="296">
      <c r="A296" s="2">
        <f t="shared" si="78"/>
        <v>11</v>
      </c>
      <c r="B296" s="3">
        <f t="shared" si="119"/>
        <v>46100</v>
      </c>
      <c r="C296" s="2" t="s">
        <v>57</v>
      </c>
      <c r="D296" s="2" t="s">
        <v>29</v>
      </c>
      <c r="E296" s="2" t="s">
        <v>25</v>
      </c>
      <c r="F296" s="4" t="str">
        <f>VLOOKUP($E296,Instructors!$A$2:$C693,3,FALSE)</f>
        <v>Self</v>
      </c>
      <c r="G296" s="4" t="str">
        <f t="shared" si="14"/>
        <v>NA</v>
      </c>
      <c r="H296" s="4" t="str">
        <f t="shared" si="3"/>
        <v/>
      </c>
      <c r="J296" s="4" t="str">
        <f>if($E296="Capstone","Capstone",if($E296="Holiday",""))</f>
        <v>Capstone</v>
      </c>
      <c r="K296" s="2" t="b">
        <f>if($E296="Holiday","NA")</f>
        <v>0</v>
      </c>
      <c r="M296" s="4"/>
      <c r="N296" s="4"/>
      <c r="O296" s="4"/>
      <c r="P296" s="4"/>
      <c r="Q296" s="4"/>
    </row>
    <row r="297">
      <c r="A297" s="2">
        <f t="shared" si="78"/>
        <v>11</v>
      </c>
      <c r="B297" s="3">
        <f t="shared" si="119"/>
        <v>46100</v>
      </c>
      <c r="C297" s="2" t="s">
        <v>57</v>
      </c>
      <c r="D297" s="2" t="s">
        <v>31</v>
      </c>
      <c r="E297" s="2" t="s">
        <v>160</v>
      </c>
      <c r="F297" s="4" t="str">
        <f>VLOOKUP($E297,Instructors!$A$2:$C693,3,FALSE)</f>
        <v>&lt;5</v>
      </c>
      <c r="G297" s="4" t="str">
        <f t="shared" si="14"/>
        <v/>
      </c>
      <c r="H297" s="4" t="str">
        <f t="shared" si="3"/>
        <v/>
      </c>
      <c r="I297" s="2" t="s">
        <v>265</v>
      </c>
      <c r="J297" s="2" t="s">
        <v>89</v>
      </c>
      <c r="K297" s="2">
        <v>90.0</v>
      </c>
      <c r="M297" s="4" t="b">
        <f>if($E297="Holiday","Holiday",if($E297="Capstone","Capstone"))</f>
        <v>0</v>
      </c>
      <c r="N297" s="4"/>
      <c r="O297" s="4"/>
      <c r="P297" s="4"/>
      <c r="Q297" s="4"/>
    </row>
    <row r="298">
      <c r="A298" s="2">
        <f t="shared" si="78"/>
        <v>11</v>
      </c>
      <c r="B298" s="3">
        <f t="shared" ref="B298:B301" si="120">B294+1</f>
        <v>46101</v>
      </c>
      <c r="C298" s="2" t="s">
        <v>73</v>
      </c>
      <c r="D298" s="2" t="s">
        <v>18</v>
      </c>
      <c r="E298" s="2" t="s">
        <v>127</v>
      </c>
      <c r="F298" s="4" t="str">
        <f>VLOOKUP($E298,Instructors!$A$2:$C693,3,FALSE)</f>
        <v>&lt;5</v>
      </c>
      <c r="G298" s="4" t="str">
        <f t="shared" si="14"/>
        <v/>
      </c>
      <c r="H298" s="4" t="str">
        <f t="shared" si="3"/>
        <v/>
      </c>
      <c r="I298" s="2" t="s">
        <v>266</v>
      </c>
      <c r="J298" s="2" t="s">
        <v>36</v>
      </c>
      <c r="K298" s="2">
        <v>90.0</v>
      </c>
      <c r="M298" s="2" t="s">
        <v>153</v>
      </c>
      <c r="N298" s="2" t="s">
        <v>68</v>
      </c>
      <c r="O298" s="2" t="s">
        <v>70</v>
      </c>
      <c r="P298" s="4"/>
      <c r="Q298" s="4"/>
    </row>
    <row r="299">
      <c r="A299" s="2">
        <f t="shared" si="78"/>
        <v>11</v>
      </c>
      <c r="B299" s="3">
        <f t="shared" si="120"/>
        <v>46101</v>
      </c>
      <c r="C299" s="2" t="s">
        <v>73</v>
      </c>
      <c r="D299" s="2" t="s">
        <v>24</v>
      </c>
      <c r="E299" s="2" t="s">
        <v>127</v>
      </c>
      <c r="F299" s="4" t="str">
        <f>VLOOKUP($E299,Instructors!$A$2:$C693,3,FALSE)</f>
        <v>&lt;5</v>
      </c>
      <c r="G299" s="4" t="str">
        <f t="shared" si="14"/>
        <v/>
      </c>
      <c r="H299" s="4" t="str">
        <f t="shared" si="3"/>
        <v/>
      </c>
      <c r="I299" s="2" t="s">
        <v>266</v>
      </c>
      <c r="J299" s="2" t="s">
        <v>36</v>
      </c>
      <c r="K299" s="2">
        <v>90.0</v>
      </c>
      <c r="M299" s="2" t="s">
        <v>153</v>
      </c>
      <c r="N299" s="2" t="s">
        <v>235</v>
      </c>
      <c r="O299" s="2" t="s">
        <v>114</v>
      </c>
      <c r="P299" s="4"/>
      <c r="Q299" s="4"/>
    </row>
    <row r="300">
      <c r="A300" s="2">
        <f t="shared" si="78"/>
        <v>11</v>
      </c>
      <c r="B300" s="3">
        <f t="shared" si="120"/>
        <v>46101</v>
      </c>
      <c r="C300" s="2" t="s">
        <v>73</v>
      </c>
      <c r="D300" s="2" t="s">
        <v>29</v>
      </c>
      <c r="E300" s="2" t="s">
        <v>25</v>
      </c>
      <c r="F300" s="4" t="str">
        <f>VLOOKUP($E300,Instructors!$A$2:$C693,3,FALSE)</f>
        <v>Self</v>
      </c>
      <c r="G300" s="4" t="str">
        <f t="shared" si="14"/>
        <v>NA</v>
      </c>
      <c r="H300" s="4" t="str">
        <f t="shared" si="3"/>
        <v/>
      </c>
      <c r="J300" s="2" t="s">
        <v>25</v>
      </c>
      <c r="K300" s="2" t="b">
        <f t="shared" ref="K300:K693" si="121">if($E300="Holiday","NA")</f>
        <v>0</v>
      </c>
      <c r="M300" s="4" t="str">
        <f t="shared" ref="M300:M693" si="122">if($E300="Holiday","Holiday",if($E300="Capstone","Capstone"))</f>
        <v>Capstone</v>
      </c>
      <c r="N300" s="4"/>
      <c r="O300" s="4"/>
      <c r="P300" s="4"/>
      <c r="Q300" s="4"/>
    </row>
    <row r="301">
      <c r="A301" s="2">
        <f t="shared" si="78"/>
        <v>11</v>
      </c>
      <c r="B301" s="3">
        <f t="shared" si="120"/>
        <v>46101</v>
      </c>
      <c r="C301" s="2" t="s">
        <v>73</v>
      </c>
      <c r="D301" s="2" t="s">
        <v>31</v>
      </c>
      <c r="E301" s="2" t="s">
        <v>267</v>
      </c>
      <c r="F301" s="4" t="str">
        <f>VLOOKUP($E301,Instructors!$A$2:$C693,3,FALSE)</f>
        <v/>
      </c>
      <c r="G301" s="4" t="str">
        <f t="shared" si="14"/>
        <v/>
      </c>
      <c r="H301" s="4" t="str">
        <f t="shared" si="3"/>
        <v/>
      </c>
      <c r="I301" s="2" t="s">
        <v>268</v>
      </c>
      <c r="J301" s="2" t="s">
        <v>146</v>
      </c>
      <c r="K301" s="2" t="b">
        <f t="shared" si="121"/>
        <v>0</v>
      </c>
      <c r="M301" s="4" t="b">
        <f t="shared" si="122"/>
        <v>0</v>
      </c>
      <c r="N301" s="4"/>
      <c r="O301" s="4"/>
      <c r="P301" s="4"/>
      <c r="Q301" s="4"/>
    </row>
    <row r="302">
      <c r="A302" s="2">
        <f t="shared" si="78"/>
        <v>11</v>
      </c>
      <c r="B302" s="3">
        <f t="shared" ref="B302:B309" si="123">B294+2</f>
        <v>46102</v>
      </c>
      <c r="C302" s="2" t="s">
        <v>86</v>
      </c>
      <c r="D302" s="2" t="s">
        <v>18</v>
      </c>
      <c r="E302" s="2" t="s">
        <v>92</v>
      </c>
      <c r="F302" s="4" t="str">
        <f>VLOOKUP($E302,Instructors!$A$2:$C693,3,FALSE)</f>
        <v/>
      </c>
      <c r="G302" s="4" t="str">
        <f t="shared" si="14"/>
        <v>NA</v>
      </c>
      <c r="H302" s="4" t="str">
        <f t="shared" si="3"/>
        <v>NA</v>
      </c>
      <c r="J302" s="4" t="str">
        <f t="shared" ref="J302:J693" si="124">if($E302="Capstone","Capstone",if($E302="Holiday",""))</f>
        <v/>
      </c>
      <c r="K302" s="2" t="str">
        <f t="shared" si="121"/>
        <v>NA</v>
      </c>
      <c r="M302" s="4" t="str">
        <f t="shared" si="122"/>
        <v>Holiday</v>
      </c>
      <c r="N302" s="4"/>
      <c r="O302" s="4"/>
      <c r="P302" s="4"/>
      <c r="Q302" s="4"/>
    </row>
    <row r="303">
      <c r="A303" s="2">
        <f t="shared" si="78"/>
        <v>11</v>
      </c>
      <c r="B303" s="3">
        <f t="shared" si="123"/>
        <v>46102</v>
      </c>
      <c r="C303" s="2" t="s">
        <v>86</v>
      </c>
      <c r="D303" s="2" t="s">
        <v>24</v>
      </c>
      <c r="E303" s="2" t="s">
        <v>92</v>
      </c>
      <c r="F303" s="4" t="str">
        <f>VLOOKUP($E303,Instructors!$A$2:$C693,3,FALSE)</f>
        <v/>
      </c>
      <c r="G303" s="4" t="str">
        <f t="shared" si="14"/>
        <v>NA</v>
      </c>
      <c r="H303" s="4" t="str">
        <f t="shared" si="3"/>
        <v>NA</v>
      </c>
      <c r="J303" s="4" t="str">
        <f t="shared" si="124"/>
        <v/>
      </c>
      <c r="K303" s="2" t="str">
        <f t="shared" si="121"/>
        <v>NA</v>
      </c>
      <c r="M303" s="4" t="str">
        <f t="shared" si="122"/>
        <v>Holiday</v>
      </c>
      <c r="N303" s="4"/>
      <c r="O303" s="4"/>
      <c r="P303" s="4"/>
      <c r="Q303" s="4"/>
    </row>
    <row r="304">
      <c r="A304" s="2">
        <f t="shared" si="78"/>
        <v>11</v>
      </c>
      <c r="B304" s="3">
        <f t="shared" si="123"/>
        <v>46102</v>
      </c>
      <c r="C304" s="2" t="s">
        <v>86</v>
      </c>
      <c r="D304" s="2" t="s">
        <v>29</v>
      </c>
      <c r="E304" s="2" t="s">
        <v>92</v>
      </c>
      <c r="F304" s="4" t="str">
        <f>VLOOKUP($E304,Instructors!$A$2:$C693,3,FALSE)</f>
        <v/>
      </c>
      <c r="G304" s="4" t="str">
        <f t="shared" si="14"/>
        <v>NA</v>
      </c>
      <c r="H304" s="4" t="str">
        <f t="shared" si="3"/>
        <v>NA</v>
      </c>
      <c r="J304" s="4" t="str">
        <f t="shared" si="124"/>
        <v/>
      </c>
      <c r="K304" s="2" t="str">
        <f t="shared" si="121"/>
        <v>NA</v>
      </c>
      <c r="M304" s="4" t="str">
        <f t="shared" si="122"/>
        <v>Holiday</v>
      </c>
      <c r="N304" s="4"/>
      <c r="O304" s="4"/>
      <c r="P304" s="4"/>
      <c r="Q304" s="4"/>
    </row>
    <row r="305">
      <c r="A305" s="2">
        <f t="shared" si="78"/>
        <v>11</v>
      </c>
      <c r="B305" s="3">
        <f t="shared" si="123"/>
        <v>46102</v>
      </c>
      <c r="C305" s="2" t="s">
        <v>86</v>
      </c>
      <c r="D305" s="2" t="s">
        <v>31</v>
      </c>
      <c r="E305" s="2" t="s">
        <v>92</v>
      </c>
      <c r="F305" s="4" t="str">
        <f>VLOOKUP($E305,Instructors!$A$2:$C693,3,FALSE)</f>
        <v/>
      </c>
      <c r="G305" s="4" t="str">
        <f t="shared" si="14"/>
        <v>NA</v>
      </c>
      <c r="H305" s="4" t="str">
        <f t="shared" si="3"/>
        <v>NA</v>
      </c>
      <c r="J305" s="4" t="str">
        <f t="shared" si="124"/>
        <v/>
      </c>
      <c r="K305" s="2" t="str">
        <f t="shared" si="121"/>
        <v>NA</v>
      </c>
      <c r="M305" s="4" t="str">
        <f t="shared" si="122"/>
        <v>Holiday</v>
      </c>
      <c r="N305" s="4"/>
      <c r="O305" s="4"/>
      <c r="P305" s="4"/>
      <c r="Q305" s="4"/>
    </row>
    <row r="306">
      <c r="A306" s="2">
        <f t="shared" si="78"/>
        <v>11</v>
      </c>
      <c r="B306" s="3">
        <f t="shared" si="123"/>
        <v>46103</v>
      </c>
      <c r="C306" s="2" t="s">
        <v>93</v>
      </c>
      <c r="D306" s="2" t="s">
        <v>18</v>
      </c>
      <c r="E306" s="2" t="s">
        <v>25</v>
      </c>
      <c r="F306" s="4" t="str">
        <f>VLOOKUP($E306,Instructors!$A$2:$C693,3,FALSE)</f>
        <v>Self</v>
      </c>
      <c r="G306" s="4" t="str">
        <f t="shared" si="14"/>
        <v>NA</v>
      </c>
      <c r="H306" s="4" t="str">
        <f t="shared" si="3"/>
        <v/>
      </c>
      <c r="I306" s="2" t="s">
        <v>269</v>
      </c>
      <c r="J306" s="4" t="str">
        <f t="shared" si="124"/>
        <v>Capstone</v>
      </c>
      <c r="K306" s="2" t="b">
        <f t="shared" si="121"/>
        <v>0</v>
      </c>
      <c r="M306" s="4" t="str">
        <f t="shared" si="122"/>
        <v>Capstone</v>
      </c>
      <c r="N306" s="4"/>
      <c r="O306" s="4"/>
      <c r="P306" s="4"/>
      <c r="Q306" s="4"/>
    </row>
    <row r="307">
      <c r="A307" s="2">
        <f t="shared" si="78"/>
        <v>11</v>
      </c>
      <c r="B307" s="3">
        <f t="shared" si="123"/>
        <v>46103</v>
      </c>
      <c r="C307" s="2" t="s">
        <v>93</v>
      </c>
      <c r="D307" s="2" t="s">
        <v>24</v>
      </c>
      <c r="E307" s="2" t="s">
        <v>25</v>
      </c>
      <c r="F307" s="4" t="str">
        <f>VLOOKUP($E307,Instructors!$A$2:$C693,3,FALSE)</f>
        <v>Self</v>
      </c>
      <c r="G307" s="4" t="str">
        <f t="shared" si="14"/>
        <v>NA</v>
      </c>
      <c r="H307" s="4" t="str">
        <f t="shared" si="3"/>
        <v/>
      </c>
      <c r="I307" s="2" t="s">
        <v>269</v>
      </c>
      <c r="J307" s="4" t="str">
        <f t="shared" si="124"/>
        <v>Capstone</v>
      </c>
      <c r="K307" s="2" t="b">
        <f t="shared" si="121"/>
        <v>0</v>
      </c>
      <c r="M307" s="4" t="str">
        <f t="shared" si="122"/>
        <v>Capstone</v>
      </c>
      <c r="N307" s="4"/>
      <c r="O307" s="4"/>
      <c r="P307" s="4"/>
      <c r="Q307" s="4"/>
    </row>
    <row r="308">
      <c r="A308" s="2">
        <f t="shared" si="78"/>
        <v>11</v>
      </c>
      <c r="B308" s="3">
        <f t="shared" si="123"/>
        <v>46103</v>
      </c>
      <c r="C308" s="2" t="s">
        <v>93</v>
      </c>
      <c r="D308" s="2" t="s">
        <v>29</v>
      </c>
      <c r="E308" s="2" t="s">
        <v>25</v>
      </c>
      <c r="F308" s="4" t="str">
        <f>VLOOKUP($E308,Instructors!$A$2:$C693,3,FALSE)</f>
        <v>Self</v>
      </c>
      <c r="G308" s="4" t="str">
        <f t="shared" si="14"/>
        <v>NA</v>
      </c>
      <c r="H308" s="4" t="str">
        <f t="shared" si="3"/>
        <v/>
      </c>
      <c r="I308" s="2" t="s">
        <v>269</v>
      </c>
      <c r="J308" s="4" t="str">
        <f t="shared" si="124"/>
        <v>Capstone</v>
      </c>
      <c r="K308" s="2" t="b">
        <f t="shared" si="121"/>
        <v>0</v>
      </c>
      <c r="M308" s="4" t="str">
        <f t="shared" si="122"/>
        <v>Capstone</v>
      </c>
      <c r="N308" s="4"/>
      <c r="O308" s="4"/>
      <c r="P308" s="4"/>
      <c r="Q308" s="4"/>
    </row>
    <row r="309">
      <c r="A309" s="2">
        <f t="shared" si="78"/>
        <v>11</v>
      </c>
      <c r="B309" s="3">
        <f t="shared" si="123"/>
        <v>46103</v>
      </c>
      <c r="C309" s="2" t="s">
        <v>93</v>
      </c>
      <c r="D309" s="2" t="s">
        <v>31</v>
      </c>
      <c r="E309" s="2" t="s">
        <v>25</v>
      </c>
      <c r="F309" s="4" t="str">
        <f>VLOOKUP($E309,Instructors!$A$2:$C693,3,FALSE)</f>
        <v>Self</v>
      </c>
      <c r="G309" s="4" t="str">
        <f t="shared" si="14"/>
        <v>NA</v>
      </c>
      <c r="H309" s="4" t="str">
        <f t="shared" si="3"/>
        <v/>
      </c>
      <c r="I309" s="2" t="s">
        <v>269</v>
      </c>
      <c r="J309" s="4" t="str">
        <f t="shared" si="124"/>
        <v>Capstone</v>
      </c>
      <c r="K309" s="2" t="b">
        <f t="shared" si="121"/>
        <v>0</v>
      </c>
      <c r="M309" s="4" t="str">
        <f t="shared" si="122"/>
        <v>Capstone</v>
      </c>
      <c r="N309" s="4"/>
      <c r="O309" s="4"/>
      <c r="P309" s="4"/>
      <c r="Q309" s="4"/>
    </row>
    <row r="310">
      <c r="A310" s="2">
        <f t="shared" si="78"/>
        <v>12</v>
      </c>
      <c r="B310" s="3">
        <f t="shared" ref="B310:B313" si="125">B306+1</f>
        <v>46104</v>
      </c>
      <c r="C310" s="2" t="s">
        <v>17</v>
      </c>
      <c r="D310" s="2" t="s">
        <v>18</v>
      </c>
      <c r="E310" s="2" t="s">
        <v>160</v>
      </c>
      <c r="F310" s="4" t="str">
        <f>VLOOKUP($E310,Instructors!$A$2:$C693,3,FALSE)</f>
        <v>&lt;5</v>
      </c>
      <c r="G310" s="4" t="str">
        <f t="shared" si="14"/>
        <v/>
      </c>
      <c r="H310" s="4" t="str">
        <f t="shared" si="3"/>
        <v/>
      </c>
      <c r="J310" s="4" t="b">
        <f t="shared" si="124"/>
        <v>0</v>
      </c>
      <c r="K310" s="2" t="b">
        <f t="shared" si="121"/>
        <v>0</v>
      </c>
      <c r="M310" s="4" t="b">
        <f t="shared" si="122"/>
        <v>0</v>
      </c>
      <c r="N310" s="4"/>
      <c r="O310" s="4"/>
      <c r="P310" s="4"/>
      <c r="Q310" s="4"/>
    </row>
    <row r="311">
      <c r="A311" s="2">
        <f t="shared" si="78"/>
        <v>12</v>
      </c>
      <c r="B311" s="3">
        <f t="shared" si="125"/>
        <v>46104</v>
      </c>
      <c r="C311" s="2" t="s">
        <v>17</v>
      </c>
      <c r="D311" s="2" t="s">
        <v>24</v>
      </c>
      <c r="E311" s="2" t="s">
        <v>19</v>
      </c>
      <c r="F311" s="4" t="str">
        <f>VLOOKUP($E311,Instructors!$A$2:$C693,3,FALSE)</f>
        <v>&gt;20</v>
      </c>
      <c r="G311" s="4" t="str">
        <f t="shared" si="14"/>
        <v/>
      </c>
      <c r="H311" s="4" t="str">
        <f t="shared" si="3"/>
        <v/>
      </c>
      <c r="J311" s="4" t="b">
        <f t="shared" si="124"/>
        <v>0</v>
      </c>
      <c r="K311" s="2" t="b">
        <f t="shared" si="121"/>
        <v>0</v>
      </c>
      <c r="M311" s="4" t="b">
        <f t="shared" si="122"/>
        <v>0</v>
      </c>
      <c r="N311" s="4"/>
      <c r="O311" s="4"/>
      <c r="P311" s="4"/>
      <c r="Q311" s="4"/>
    </row>
    <row r="312">
      <c r="A312" s="2">
        <f t="shared" si="78"/>
        <v>12</v>
      </c>
      <c r="B312" s="3">
        <f t="shared" si="125"/>
        <v>46104</v>
      </c>
      <c r="C312" s="2" t="s">
        <v>17</v>
      </c>
      <c r="D312" s="2" t="s">
        <v>29</v>
      </c>
      <c r="E312" s="2" t="s">
        <v>25</v>
      </c>
      <c r="F312" s="4" t="str">
        <f>VLOOKUP($E312,Instructors!$A$2:$C693,3,FALSE)</f>
        <v>Self</v>
      </c>
      <c r="G312" s="4" t="str">
        <f t="shared" si="14"/>
        <v>NA</v>
      </c>
      <c r="H312" s="4" t="str">
        <f t="shared" si="3"/>
        <v/>
      </c>
      <c r="J312" s="4" t="str">
        <f t="shared" si="124"/>
        <v>Capstone</v>
      </c>
      <c r="K312" s="2" t="b">
        <f t="shared" si="121"/>
        <v>0</v>
      </c>
      <c r="M312" s="4" t="str">
        <f t="shared" si="122"/>
        <v>Capstone</v>
      </c>
      <c r="N312" s="4"/>
      <c r="O312" s="4"/>
      <c r="P312" s="4"/>
      <c r="Q312" s="4"/>
    </row>
    <row r="313">
      <c r="A313" s="2">
        <f t="shared" si="78"/>
        <v>12</v>
      </c>
      <c r="B313" s="3">
        <f t="shared" si="125"/>
        <v>46104</v>
      </c>
      <c r="C313" s="2" t="s">
        <v>17</v>
      </c>
      <c r="D313" s="2" t="s">
        <v>31</v>
      </c>
      <c r="E313" s="2" t="s">
        <v>127</v>
      </c>
      <c r="F313" s="4" t="str">
        <f>VLOOKUP($E313,Instructors!$A$2:$C693,3,FALSE)</f>
        <v>&lt;5</v>
      </c>
      <c r="G313" s="4" t="str">
        <f t="shared" si="14"/>
        <v/>
      </c>
      <c r="H313" s="4" t="str">
        <f t="shared" si="3"/>
        <v/>
      </c>
      <c r="J313" s="4" t="b">
        <f t="shared" si="124"/>
        <v>0</v>
      </c>
      <c r="K313" s="2" t="b">
        <f t="shared" si="121"/>
        <v>0</v>
      </c>
      <c r="M313" s="4" t="b">
        <f t="shared" si="122"/>
        <v>0</v>
      </c>
      <c r="N313" s="4"/>
      <c r="O313" s="4"/>
      <c r="P313" s="4"/>
      <c r="Q313" s="4"/>
    </row>
    <row r="314">
      <c r="A314" s="2">
        <f t="shared" si="78"/>
        <v>12</v>
      </c>
      <c r="B314" s="3">
        <f t="shared" ref="B314:B317" si="126">B306+2</f>
        <v>46105</v>
      </c>
      <c r="C314" s="2" t="s">
        <v>33</v>
      </c>
      <c r="D314" s="2" t="s">
        <v>18</v>
      </c>
      <c r="E314" s="2" t="s">
        <v>270</v>
      </c>
      <c r="F314" s="4" t="str">
        <f>VLOOKUP($E314,Instructors!$A$2:$C693,3,FALSE)</f>
        <v>&gt;20</v>
      </c>
      <c r="G314" s="4" t="str">
        <f t="shared" si="14"/>
        <v/>
      </c>
      <c r="H314" s="4" t="str">
        <f t="shared" si="3"/>
        <v/>
      </c>
      <c r="J314" s="4" t="b">
        <f t="shared" si="124"/>
        <v>0</v>
      </c>
      <c r="K314" s="2" t="b">
        <f t="shared" si="121"/>
        <v>0</v>
      </c>
      <c r="M314" s="4" t="b">
        <f t="shared" si="122"/>
        <v>0</v>
      </c>
      <c r="N314" s="4"/>
      <c r="O314" s="4"/>
      <c r="P314" s="4"/>
      <c r="Q314" s="4"/>
    </row>
    <row r="315">
      <c r="A315" s="2">
        <f t="shared" si="78"/>
        <v>12</v>
      </c>
      <c r="B315" s="3">
        <f t="shared" si="126"/>
        <v>46105</v>
      </c>
      <c r="C315" s="2" t="s">
        <v>33</v>
      </c>
      <c r="D315" s="2" t="s">
        <v>24</v>
      </c>
      <c r="E315" s="2" t="s">
        <v>271</v>
      </c>
      <c r="F315" s="4" t="str">
        <f>VLOOKUP($E315,Instructors!$A$2:$C693,3,FALSE)</f>
        <v>&gt;20</v>
      </c>
      <c r="G315" s="4" t="str">
        <f t="shared" si="14"/>
        <v/>
      </c>
      <c r="H315" s="4" t="str">
        <f t="shared" si="3"/>
        <v/>
      </c>
      <c r="J315" s="4" t="b">
        <f t="shared" si="124"/>
        <v>0</v>
      </c>
      <c r="K315" s="2" t="b">
        <f t="shared" si="121"/>
        <v>0</v>
      </c>
      <c r="M315" s="4" t="b">
        <f t="shared" si="122"/>
        <v>0</v>
      </c>
      <c r="N315" s="4"/>
      <c r="O315" s="4"/>
      <c r="P315" s="4"/>
      <c r="Q315" s="4"/>
    </row>
    <row r="316">
      <c r="A316" s="2">
        <f t="shared" si="78"/>
        <v>12</v>
      </c>
      <c r="B316" s="3">
        <f t="shared" si="126"/>
        <v>46105</v>
      </c>
      <c r="C316" s="2" t="s">
        <v>33</v>
      </c>
      <c r="D316" s="2" t="s">
        <v>29</v>
      </c>
      <c r="E316" s="4"/>
      <c r="F316" s="4" t="str">
        <f>VLOOKUP($E316,Instructors!$A$2:$C693,3,FALSE)</f>
        <v>#N/A</v>
      </c>
      <c r="G316" s="4" t="str">
        <f t="shared" si="14"/>
        <v/>
      </c>
      <c r="H316" s="4" t="str">
        <f t="shared" si="3"/>
        <v/>
      </c>
      <c r="J316" s="4" t="b">
        <f t="shared" si="124"/>
        <v>0</v>
      </c>
      <c r="K316" s="2" t="b">
        <f t="shared" si="121"/>
        <v>0</v>
      </c>
      <c r="M316" s="4" t="b">
        <f t="shared" si="122"/>
        <v>0</v>
      </c>
      <c r="N316" s="4"/>
      <c r="O316" s="4"/>
      <c r="P316" s="4"/>
      <c r="Q316" s="4"/>
    </row>
    <row r="317">
      <c r="A317" s="2">
        <f t="shared" si="78"/>
        <v>12</v>
      </c>
      <c r="B317" s="3">
        <f t="shared" si="126"/>
        <v>46105</v>
      </c>
      <c r="C317" s="2" t="s">
        <v>33</v>
      </c>
      <c r="D317" s="2" t="s">
        <v>31</v>
      </c>
      <c r="E317" s="2" t="s">
        <v>245</v>
      </c>
      <c r="F317" s="4" t="str">
        <f>VLOOKUP($E317,Instructors!$A$2:$C693,3,FALSE)</f>
        <v>&gt;50</v>
      </c>
      <c r="G317" s="4" t="str">
        <f t="shared" si="14"/>
        <v/>
      </c>
      <c r="H317" s="4" t="str">
        <f t="shared" si="3"/>
        <v/>
      </c>
      <c r="I317" s="2" t="s">
        <v>272</v>
      </c>
      <c r="J317" s="4" t="b">
        <f t="shared" si="124"/>
        <v>0</v>
      </c>
      <c r="K317" s="2" t="b">
        <f t="shared" si="121"/>
        <v>0</v>
      </c>
      <c r="M317" s="4" t="b">
        <f t="shared" si="122"/>
        <v>0</v>
      </c>
      <c r="N317" s="4"/>
      <c r="O317" s="4"/>
      <c r="P317" s="4"/>
      <c r="Q317" s="4"/>
    </row>
    <row r="318">
      <c r="A318" s="2">
        <f t="shared" si="78"/>
        <v>12</v>
      </c>
      <c r="B318" s="3">
        <f t="shared" ref="B318:B321" si="127">B314+1</f>
        <v>46106</v>
      </c>
      <c r="C318" s="2" t="s">
        <v>45</v>
      </c>
      <c r="D318" s="2" t="s">
        <v>18</v>
      </c>
      <c r="E318" s="2" t="s">
        <v>245</v>
      </c>
      <c r="F318" s="4" t="str">
        <f>VLOOKUP($E318,Instructors!$A$2:$C693,3,FALSE)</f>
        <v>&gt;50</v>
      </c>
      <c r="G318" s="4" t="str">
        <f t="shared" si="14"/>
        <v/>
      </c>
      <c r="H318" s="4" t="str">
        <f t="shared" si="3"/>
        <v/>
      </c>
      <c r="I318" s="2" t="s">
        <v>272</v>
      </c>
      <c r="J318" s="4" t="b">
        <f t="shared" si="124"/>
        <v>0</v>
      </c>
      <c r="K318" s="2" t="b">
        <f t="shared" si="121"/>
        <v>0</v>
      </c>
      <c r="M318" s="4" t="b">
        <f t="shared" si="122"/>
        <v>0</v>
      </c>
      <c r="N318" s="4"/>
      <c r="O318" s="4"/>
      <c r="P318" s="4"/>
      <c r="Q318" s="4"/>
    </row>
    <row r="319">
      <c r="A319" s="2">
        <f t="shared" si="78"/>
        <v>12</v>
      </c>
      <c r="B319" s="3">
        <f t="shared" si="127"/>
        <v>46106</v>
      </c>
      <c r="C319" s="2" t="s">
        <v>45</v>
      </c>
      <c r="D319" s="2" t="s">
        <v>24</v>
      </c>
      <c r="E319" s="2" t="s">
        <v>245</v>
      </c>
      <c r="F319" s="4" t="str">
        <f>VLOOKUP($E319,Instructors!$A$2:$C693,3,FALSE)</f>
        <v>&gt;50</v>
      </c>
      <c r="G319" s="4" t="str">
        <f t="shared" si="14"/>
        <v/>
      </c>
      <c r="H319" s="4" t="str">
        <f t="shared" si="3"/>
        <v/>
      </c>
      <c r="I319" s="2" t="s">
        <v>272</v>
      </c>
      <c r="J319" s="4" t="b">
        <f t="shared" si="124"/>
        <v>0</v>
      </c>
      <c r="K319" s="2" t="b">
        <f t="shared" si="121"/>
        <v>0</v>
      </c>
      <c r="M319" s="4" t="b">
        <f t="shared" si="122"/>
        <v>0</v>
      </c>
      <c r="N319" s="4"/>
      <c r="O319" s="4"/>
      <c r="P319" s="4"/>
      <c r="Q319" s="4"/>
    </row>
    <row r="320">
      <c r="A320" s="2">
        <f t="shared" si="78"/>
        <v>12</v>
      </c>
      <c r="B320" s="3">
        <f t="shared" si="127"/>
        <v>46106</v>
      </c>
      <c r="C320" s="2" t="s">
        <v>45</v>
      </c>
      <c r="D320" s="2" t="s">
        <v>29</v>
      </c>
      <c r="E320" s="2" t="s">
        <v>25</v>
      </c>
      <c r="F320" s="4" t="str">
        <f>VLOOKUP($E320,Instructors!$A$2:$C693,3,FALSE)</f>
        <v>Self</v>
      </c>
      <c r="G320" s="4" t="str">
        <f t="shared" si="14"/>
        <v>NA</v>
      </c>
      <c r="H320" s="4" t="str">
        <f t="shared" si="3"/>
        <v/>
      </c>
      <c r="J320" s="4" t="str">
        <f t="shared" si="124"/>
        <v>Capstone</v>
      </c>
      <c r="K320" s="2" t="b">
        <f t="shared" si="121"/>
        <v>0</v>
      </c>
      <c r="M320" s="4" t="str">
        <f t="shared" si="122"/>
        <v>Capstone</v>
      </c>
      <c r="N320" s="4"/>
      <c r="O320" s="4"/>
      <c r="P320" s="4"/>
      <c r="Q320" s="4"/>
    </row>
    <row r="321">
      <c r="A321" s="2">
        <f t="shared" si="78"/>
        <v>12</v>
      </c>
      <c r="B321" s="3">
        <f t="shared" si="127"/>
        <v>46106</v>
      </c>
      <c r="C321" s="2" t="s">
        <v>45</v>
      </c>
      <c r="D321" s="2" t="s">
        <v>31</v>
      </c>
      <c r="E321" s="2" t="s">
        <v>245</v>
      </c>
      <c r="F321" s="4" t="str">
        <f>VLOOKUP($E321,Instructors!$A$2:$C693,3,FALSE)</f>
        <v>&gt;50</v>
      </c>
      <c r="G321" s="4" t="str">
        <f t="shared" si="14"/>
        <v/>
      </c>
      <c r="H321" s="4" t="str">
        <f t="shared" si="3"/>
        <v/>
      </c>
      <c r="I321" s="2" t="s">
        <v>272</v>
      </c>
      <c r="J321" s="4" t="b">
        <f t="shared" si="124"/>
        <v>0</v>
      </c>
      <c r="K321" s="2" t="b">
        <f t="shared" si="121"/>
        <v>0</v>
      </c>
      <c r="M321" s="4" t="b">
        <f t="shared" si="122"/>
        <v>0</v>
      </c>
      <c r="N321" s="4"/>
      <c r="O321" s="4"/>
      <c r="P321" s="4"/>
      <c r="Q321" s="4"/>
    </row>
    <row r="322">
      <c r="A322" s="2">
        <f t="shared" si="78"/>
        <v>12</v>
      </c>
      <c r="B322" s="3">
        <f t="shared" ref="B322:B325" si="128">B314+2</f>
        <v>46107</v>
      </c>
      <c r="C322" s="2" t="s">
        <v>57</v>
      </c>
      <c r="D322" s="2" t="s">
        <v>18</v>
      </c>
      <c r="E322" s="2" t="s">
        <v>25</v>
      </c>
      <c r="F322" s="4" t="str">
        <f>VLOOKUP($E322,Instructors!$A$2:$C693,3,FALSE)</f>
        <v>Self</v>
      </c>
      <c r="G322" s="4" t="str">
        <f t="shared" si="14"/>
        <v>NA</v>
      </c>
      <c r="H322" s="4" t="str">
        <f t="shared" si="3"/>
        <v/>
      </c>
      <c r="J322" s="4" t="str">
        <f t="shared" si="124"/>
        <v>Capstone</v>
      </c>
      <c r="K322" s="2" t="b">
        <f t="shared" si="121"/>
        <v>0</v>
      </c>
      <c r="M322" s="4" t="str">
        <f t="shared" si="122"/>
        <v>Capstone</v>
      </c>
      <c r="N322" s="4"/>
      <c r="O322" s="4"/>
      <c r="P322" s="4"/>
      <c r="Q322" s="4"/>
    </row>
    <row r="323">
      <c r="A323" s="2">
        <f t="shared" si="78"/>
        <v>12</v>
      </c>
      <c r="B323" s="3">
        <f t="shared" si="128"/>
        <v>46107</v>
      </c>
      <c r="C323" s="2" t="s">
        <v>57</v>
      </c>
      <c r="D323" s="2" t="s">
        <v>24</v>
      </c>
      <c r="E323" s="2" t="s">
        <v>245</v>
      </c>
      <c r="F323" s="4" t="str">
        <f>VLOOKUP($E323,Instructors!$A$2:$C693,3,FALSE)</f>
        <v>&gt;50</v>
      </c>
      <c r="G323" s="4" t="str">
        <f t="shared" si="14"/>
        <v/>
      </c>
      <c r="H323" s="4" t="str">
        <f t="shared" si="3"/>
        <v/>
      </c>
      <c r="I323" s="2" t="s">
        <v>272</v>
      </c>
      <c r="J323" s="4" t="b">
        <f t="shared" si="124"/>
        <v>0</v>
      </c>
      <c r="K323" s="2" t="b">
        <f t="shared" si="121"/>
        <v>0</v>
      </c>
      <c r="M323" s="4" t="b">
        <f t="shared" si="122"/>
        <v>0</v>
      </c>
      <c r="N323" s="4"/>
      <c r="O323" s="4"/>
      <c r="P323" s="4"/>
      <c r="Q323" s="4"/>
    </row>
    <row r="324">
      <c r="A324" s="2">
        <f t="shared" si="78"/>
        <v>12</v>
      </c>
      <c r="B324" s="3">
        <f t="shared" si="128"/>
        <v>46107</v>
      </c>
      <c r="C324" s="2" t="s">
        <v>57</v>
      </c>
      <c r="D324" s="2" t="s">
        <v>29</v>
      </c>
      <c r="E324" s="2" t="s">
        <v>245</v>
      </c>
      <c r="F324" s="4" t="str">
        <f>VLOOKUP($E324,Instructors!$A$2:$C693,3,FALSE)</f>
        <v>&gt;50</v>
      </c>
      <c r="G324" s="4" t="str">
        <f t="shared" si="14"/>
        <v/>
      </c>
      <c r="H324" s="4" t="str">
        <f t="shared" si="3"/>
        <v/>
      </c>
      <c r="I324" s="2" t="s">
        <v>272</v>
      </c>
      <c r="J324" s="4" t="b">
        <f t="shared" si="124"/>
        <v>0</v>
      </c>
      <c r="K324" s="2" t="b">
        <f t="shared" si="121"/>
        <v>0</v>
      </c>
      <c r="M324" s="4" t="b">
        <f t="shared" si="122"/>
        <v>0</v>
      </c>
      <c r="N324" s="4"/>
      <c r="O324" s="4"/>
      <c r="P324" s="4"/>
      <c r="Q324" s="4"/>
    </row>
    <row r="325">
      <c r="A325" s="2">
        <f t="shared" si="78"/>
        <v>12</v>
      </c>
      <c r="B325" s="3">
        <f t="shared" si="128"/>
        <v>46107</v>
      </c>
      <c r="C325" s="2" t="s">
        <v>57</v>
      </c>
      <c r="D325" s="2" t="s">
        <v>31</v>
      </c>
      <c r="E325" s="2" t="s">
        <v>245</v>
      </c>
      <c r="F325" s="4" t="str">
        <f>VLOOKUP($E325,Instructors!$A$2:$C693,3,FALSE)</f>
        <v>&gt;50</v>
      </c>
      <c r="G325" s="4" t="str">
        <f t="shared" si="14"/>
        <v/>
      </c>
      <c r="H325" s="4" t="str">
        <f t="shared" si="3"/>
        <v/>
      </c>
      <c r="I325" s="2" t="s">
        <v>272</v>
      </c>
      <c r="J325" s="4" t="b">
        <f t="shared" si="124"/>
        <v>0</v>
      </c>
      <c r="K325" s="2" t="b">
        <f t="shared" si="121"/>
        <v>0</v>
      </c>
      <c r="M325" s="4" t="b">
        <f t="shared" si="122"/>
        <v>0</v>
      </c>
      <c r="N325" s="4"/>
      <c r="O325" s="4"/>
      <c r="P325" s="4"/>
      <c r="Q325" s="4"/>
    </row>
    <row r="326">
      <c r="A326" s="2">
        <f t="shared" si="78"/>
        <v>12</v>
      </c>
      <c r="B326" s="3">
        <f t="shared" ref="B326:B329" si="129">B322+1</f>
        <v>46108</v>
      </c>
      <c r="C326" s="2" t="s">
        <v>73</v>
      </c>
      <c r="D326" s="2" t="s">
        <v>18</v>
      </c>
      <c r="E326" s="2" t="s">
        <v>245</v>
      </c>
      <c r="F326" s="4" t="str">
        <f>VLOOKUP($E326,Instructors!$A$2:$C693,3,FALSE)</f>
        <v>&gt;50</v>
      </c>
      <c r="G326" s="4" t="str">
        <f t="shared" si="14"/>
        <v/>
      </c>
      <c r="H326" s="4" t="str">
        <f t="shared" si="3"/>
        <v/>
      </c>
      <c r="I326" s="2" t="s">
        <v>272</v>
      </c>
      <c r="J326" s="4" t="b">
        <f t="shared" si="124"/>
        <v>0</v>
      </c>
      <c r="K326" s="2" t="b">
        <f t="shared" si="121"/>
        <v>0</v>
      </c>
      <c r="M326" s="4" t="b">
        <f t="shared" si="122"/>
        <v>0</v>
      </c>
      <c r="N326" s="4"/>
      <c r="O326" s="4"/>
      <c r="P326" s="4"/>
      <c r="Q326" s="4"/>
    </row>
    <row r="327">
      <c r="A327" s="2">
        <f t="shared" si="78"/>
        <v>12</v>
      </c>
      <c r="B327" s="3">
        <f t="shared" si="129"/>
        <v>46108</v>
      </c>
      <c r="C327" s="2" t="s">
        <v>73</v>
      </c>
      <c r="D327" s="2" t="s">
        <v>24</v>
      </c>
      <c r="E327" s="2" t="s">
        <v>245</v>
      </c>
      <c r="F327" s="4" t="str">
        <f>VLOOKUP($E327,Instructors!$A$2:$C693,3,FALSE)</f>
        <v>&gt;50</v>
      </c>
      <c r="G327" s="4" t="str">
        <f t="shared" si="14"/>
        <v/>
      </c>
      <c r="H327" s="4" t="str">
        <f t="shared" si="3"/>
        <v/>
      </c>
      <c r="I327" s="2" t="s">
        <v>272</v>
      </c>
      <c r="J327" s="4" t="b">
        <f t="shared" si="124"/>
        <v>0</v>
      </c>
      <c r="K327" s="2" t="b">
        <f t="shared" si="121"/>
        <v>0</v>
      </c>
      <c r="M327" s="4" t="b">
        <f t="shared" si="122"/>
        <v>0</v>
      </c>
      <c r="N327" s="4"/>
      <c r="O327" s="4"/>
      <c r="P327" s="4"/>
      <c r="Q327" s="4"/>
    </row>
    <row r="328">
      <c r="A328" s="2">
        <f t="shared" si="78"/>
        <v>12</v>
      </c>
      <c r="B328" s="3">
        <f t="shared" si="129"/>
        <v>46108</v>
      </c>
      <c r="C328" s="2" t="s">
        <v>73</v>
      </c>
      <c r="D328" s="2" t="s">
        <v>29</v>
      </c>
      <c r="E328" s="2" t="s">
        <v>25</v>
      </c>
      <c r="F328" s="4" t="str">
        <f>VLOOKUP($E328,Instructors!$A$2:$C693,3,FALSE)</f>
        <v>Self</v>
      </c>
      <c r="G328" s="4" t="str">
        <f t="shared" si="14"/>
        <v>NA</v>
      </c>
      <c r="H328" s="4" t="str">
        <f t="shared" si="3"/>
        <v/>
      </c>
      <c r="J328" s="4" t="str">
        <f t="shared" si="124"/>
        <v>Capstone</v>
      </c>
      <c r="K328" s="2" t="b">
        <f t="shared" si="121"/>
        <v>0</v>
      </c>
      <c r="M328" s="4" t="str">
        <f t="shared" si="122"/>
        <v>Capstone</v>
      </c>
      <c r="N328" s="4"/>
      <c r="O328" s="4"/>
      <c r="P328" s="4"/>
      <c r="Q328" s="4"/>
    </row>
    <row r="329">
      <c r="A329" s="2">
        <f t="shared" si="78"/>
        <v>12</v>
      </c>
      <c r="B329" s="3">
        <f t="shared" si="129"/>
        <v>46108</v>
      </c>
      <c r="C329" s="2" t="s">
        <v>73</v>
      </c>
      <c r="D329" s="2" t="s">
        <v>31</v>
      </c>
      <c r="E329" s="2" t="s">
        <v>245</v>
      </c>
      <c r="F329" s="4" t="str">
        <f>VLOOKUP($E329,Instructors!$A$2:$C693,3,FALSE)</f>
        <v>&gt;50</v>
      </c>
      <c r="G329" s="4" t="str">
        <f t="shared" si="14"/>
        <v/>
      </c>
      <c r="H329" s="4" t="str">
        <f t="shared" si="3"/>
        <v/>
      </c>
      <c r="I329" s="2" t="s">
        <v>272</v>
      </c>
      <c r="J329" s="4" t="b">
        <f t="shared" si="124"/>
        <v>0</v>
      </c>
      <c r="K329" s="2" t="b">
        <f t="shared" si="121"/>
        <v>0</v>
      </c>
      <c r="M329" s="4" t="b">
        <f t="shared" si="122"/>
        <v>0</v>
      </c>
      <c r="N329" s="4"/>
      <c r="O329" s="4"/>
      <c r="P329" s="4"/>
      <c r="Q329" s="4"/>
    </row>
    <row r="330">
      <c r="A330" s="2">
        <f t="shared" si="78"/>
        <v>12</v>
      </c>
      <c r="B330" s="3">
        <f t="shared" ref="B330:B333" si="130">B322+2</f>
        <v>46109</v>
      </c>
      <c r="C330" s="2" t="s">
        <v>86</v>
      </c>
      <c r="D330" s="2" t="s">
        <v>18</v>
      </c>
      <c r="E330" s="2" t="s">
        <v>245</v>
      </c>
      <c r="F330" s="4" t="str">
        <f>VLOOKUP($E330,Instructors!$A$2:$C693,3,FALSE)</f>
        <v>&gt;50</v>
      </c>
      <c r="G330" s="4" t="str">
        <f t="shared" si="14"/>
        <v/>
      </c>
      <c r="H330" s="4" t="str">
        <f t="shared" si="3"/>
        <v/>
      </c>
      <c r="I330" s="2" t="s">
        <v>272</v>
      </c>
      <c r="J330" s="4" t="b">
        <f t="shared" si="124"/>
        <v>0</v>
      </c>
      <c r="K330" s="2" t="b">
        <f t="shared" si="121"/>
        <v>0</v>
      </c>
      <c r="M330" s="4" t="b">
        <f t="shared" si="122"/>
        <v>0</v>
      </c>
      <c r="N330" s="4"/>
      <c r="O330" s="4"/>
      <c r="P330" s="4"/>
      <c r="Q330" s="4"/>
    </row>
    <row r="331">
      <c r="A331" s="2">
        <f t="shared" si="78"/>
        <v>12</v>
      </c>
      <c r="B331" s="3">
        <f t="shared" si="130"/>
        <v>46109</v>
      </c>
      <c r="C331" s="2" t="s">
        <v>86</v>
      </c>
      <c r="D331" s="2" t="s">
        <v>24</v>
      </c>
      <c r="E331" s="2" t="s">
        <v>245</v>
      </c>
      <c r="F331" s="4" t="str">
        <f>VLOOKUP($E331,Instructors!$A$2:$C693,3,FALSE)</f>
        <v>&gt;50</v>
      </c>
      <c r="G331" s="4" t="str">
        <f t="shared" si="14"/>
        <v/>
      </c>
      <c r="H331" s="4" t="str">
        <f t="shared" si="3"/>
        <v/>
      </c>
      <c r="I331" s="2" t="s">
        <v>272</v>
      </c>
      <c r="J331" s="4" t="b">
        <f t="shared" si="124"/>
        <v>0</v>
      </c>
      <c r="K331" s="2" t="b">
        <f t="shared" si="121"/>
        <v>0</v>
      </c>
      <c r="M331" s="4" t="b">
        <f t="shared" si="122"/>
        <v>0</v>
      </c>
      <c r="N331" s="4"/>
      <c r="O331" s="4"/>
      <c r="P331" s="4"/>
      <c r="Q331" s="4"/>
    </row>
    <row r="332">
      <c r="A332" s="2">
        <f t="shared" si="78"/>
        <v>12</v>
      </c>
      <c r="B332" s="3">
        <f t="shared" si="130"/>
        <v>46109</v>
      </c>
      <c r="C332" s="2" t="s">
        <v>86</v>
      </c>
      <c r="D332" s="2" t="s">
        <v>29</v>
      </c>
      <c r="E332" s="2" t="s">
        <v>245</v>
      </c>
      <c r="F332" s="4" t="str">
        <f>VLOOKUP($E332,Instructors!$A$2:$C693,3,FALSE)</f>
        <v>&gt;50</v>
      </c>
      <c r="G332" s="4" t="str">
        <f t="shared" si="14"/>
        <v/>
      </c>
      <c r="H332" s="4" t="str">
        <f t="shared" si="3"/>
        <v/>
      </c>
      <c r="I332" s="2" t="s">
        <v>272</v>
      </c>
      <c r="J332" s="4" t="b">
        <f t="shared" si="124"/>
        <v>0</v>
      </c>
      <c r="K332" s="2" t="b">
        <f t="shared" si="121"/>
        <v>0</v>
      </c>
      <c r="M332" s="4" t="b">
        <f t="shared" si="122"/>
        <v>0</v>
      </c>
      <c r="N332" s="4"/>
      <c r="O332" s="4"/>
      <c r="P332" s="4"/>
      <c r="Q332" s="4"/>
    </row>
    <row r="333">
      <c r="A333" s="2">
        <f t="shared" si="78"/>
        <v>12</v>
      </c>
      <c r="B333" s="3">
        <f t="shared" si="130"/>
        <v>46109</v>
      </c>
      <c r="C333" s="2" t="s">
        <v>86</v>
      </c>
      <c r="D333" s="2" t="s">
        <v>31</v>
      </c>
      <c r="E333" s="2" t="s">
        <v>245</v>
      </c>
      <c r="F333" s="4" t="str">
        <f>VLOOKUP($E333,Instructors!$A$2:$C693,3,FALSE)</f>
        <v>&gt;50</v>
      </c>
      <c r="G333" s="4" t="str">
        <f t="shared" si="14"/>
        <v/>
      </c>
      <c r="H333" s="4" t="str">
        <f t="shared" si="3"/>
        <v/>
      </c>
      <c r="I333" s="2" t="s">
        <v>272</v>
      </c>
      <c r="J333" s="4" t="b">
        <f t="shared" si="124"/>
        <v>0</v>
      </c>
      <c r="K333" s="2" t="b">
        <f t="shared" si="121"/>
        <v>0</v>
      </c>
      <c r="M333" s="4" t="b">
        <f t="shared" si="122"/>
        <v>0</v>
      </c>
      <c r="N333" s="4"/>
      <c r="O333" s="4"/>
      <c r="P333" s="4"/>
      <c r="Q333" s="4"/>
    </row>
    <row r="334">
      <c r="A334" s="2">
        <f t="shared" si="78"/>
        <v>12</v>
      </c>
      <c r="B334" s="3">
        <f t="shared" ref="B334:B337" si="131">B330+1</f>
        <v>46110</v>
      </c>
      <c r="C334" s="2" t="s">
        <v>93</v>
      </c>
      <c r="D334" s="2" t="s">
        <v>18</v>
      </c>
      <c r="E334" s="2" t="s">
        <v>92</v>
      </c>
      <c r="F334" s="4" t="str">
        <f>VLOOKUP($E334,Instructors!$A$2:$C693,3,FALSE)</f>
        <v/>
      </c>
      <c r="G334" s="4" t="str">
        <f t="shared" si="14"/>
        <v>NA</v>
      </c>
      <c r="H334" s="4" t="str">
        <f t="shared" si="3"/>
        <v>NA</v>
      </c>
      <c r="J334" s="4" t="str">
        <f t="shared" si="124"/>
        <v/>
      </c>
      <c r="K334" s="2" t="str">
        <f t="shared" si="121"/>
        <v>NA</v>
      </c>
      <c r="M334" s="4" t="str">
        <f t="shared" si="122"/>
        <v>Holiday</v>
      </c>
      <c r="N334" s="4"/>
      <c r="O334" s="4"/>
      <c r="P334" s="4"/>
      <c r="Q334" s="4"/>
    </row>
    <row r="335">
      <c r="A335" s="2">
        <f t="shared" si="78"/>
        <v>12</v>
      </c>
      <c r="B335" s="3">
        <f t="shared" si="131"/>
        <v>46110</v>
      </c>
      <c r="C335" s="2" t="s">
        <v>93</v>
      </c>
      <c r="D335" s="2" t="s">
        <v>24</v>
      </c>
      <c r="E335" s="2" t="s">
        <v>92</v>
      </c>
      <c r="F335" s="4" t="str">
        <f>VLOOKUP($E335,Instructors!$A$2:$C693,3,FALSE)</f>
        <v/>
      </c>
      <c r="G335" s="4" t="str">
        <f t="shared" si="14"/>
        <v>NA</v>
      </c>
      <c r="H335" s="4" t="str">
        <f t="shared" si="3"/>
        <v>NA</v>
      </c>
      <c r="J335" s="4" t="str">
        <f t="shared" si="124"/>
        <v/>
      </c>
      <c r="K335" s="2" t="str">
        <f t="shared" si="121"/>
        <v>NA</v>
      </c>
      <c r="M335" s="4" t="str">
        <f t="shared" si="122"/>
        <v>Holiday</v>
      </c>
      <c r="N335" s="4"/>
      <c r="O335" s="4"/>
      <c r="P335" s="4"/>
      <c r="Q335" s="4"/>
    </row>
    <row r="336">
      <c r="A336" s="2">
        <f t="shared" si="78"/>
        <v>12</v>
      </c>
      <c r="B336" s="3">
        <f t="shared" si="131"/>
        <v>46110</v>
      </c>
      <c r="C336" s="2" t="s">
        <v>93</v>
      </c>
      <c r="D336" s="2" t="s">
        <v>29</v>
      </c>
      <c r="E336" s="2" t="s">
        <v>92</v>
      </c>
      <c r="F336" s="4" t="str">
        <f>VLOOKUP($E336,Instructors!$A$2:$C693,3,FALSE)</f>
        <v/>
      </c>
      <c r="G336" s="4" t="str">
        <f t="shared" si="14"/>
        <v>NA</v>
      </c>
      <c r="H336" s="4" t="str">
        <f t="shared" si="3"/>
        <v>NA</v>
      </c>
      <c r="J336" s="4" t="str">
        <f t="shared" si="124"/>
        <v/>
      </c>
      <c r="K336" s="2" t="str">
        <f t="shared" si="121"/>
        <v>NA</v>
      </c>
      <c r="M336" s="4" t="str">
        <f t="shared" si="122"/>
        <v>Holiday</v>
      </c>
      <c r="N336" s="4"/>
      <c r="O336" s="4"/>
      <c r="P336" s="4"/>
      <c r="Q336" s="4"/>
    </row>
    <row r="337">
      <c r="A337" s="2">
        <f t="shared" si="78"/>
        <v>12</v>
      </c>
      <c r="B337" s="3">
        <f t="shared" si="131"/>
        <v>46110</v>
      </c>
      <c r="C337" s="2" t="s">
        <v>93</v>
      </c>
      <c r="D337" s="2" t="s">
        <v>31</v>
      </c>
      <c r="E337" s="2" t="s">
        <v>92</v>
      </c>
      <c r="F337" s="4" t="str">
        <f>VLOOKUP($E337,Instructors!$A$2:$C693,3,FALSE)</f>
        <v/>
      </c>
      <c r="G337" s="4" t="str">
        <f t="shared" si="14"/>
        <v>NA</v>
      </c>
      <c r="H337" s="4" t="str">
        <f t="shared" si="3"/>
        <v>NA</v>
      </c>
      <c r="J337" s="4" t="str">
        <f t="shared" si="124"/>
        <v/>
      </c>
      <c r="K337" s="2" t="str">
        <f t="shared" si="121"/>
        <v>NA</v>
      </c>
      <c r="M337" s="4" t="str">
        <f t="shared" si="122"/>
        <v>Holiday</v>
      </c>
      <c r="N337" s="4"/>
      <c r="O337" s="4"/>
      <c r="P337" s="4"/>
      <c r="Q337" s="4"/>
    </row>
    <row r="338">
      <c r="A338" s="2">
        <f t="shared" si="78"/>
        <v>13</v>
      </c>
      <c r="B338" s="3">
        <f t="shared" ref="B338:B341" si="132">B330+2</f>
        <v>46111</v>
      </c>
      <c r="C338" s="2" t="s">
        <v>17</v>
      </c>
      <c r="D338" s="2" t="s">
        <v>18</v>
      </c>
      <c r="E338" s="4"/>
      <c r="F338" s="4" t="str">
        <f>VLOOKUP($E338,Instructors!$A$2:$C693,3,FALSE)</f>
        <v>#N/A</v>
      </c>
      <c r="G338" s="4" t="str">
        <f t="shared" si="14"/>
        <v/>
      </c>
      <c r="H338" s="4" t="str">
        <f t="shared" si="3"/>
        <v/>
      </c>
      <c r="J338" s="4" t="b">
        <f t="shared" si="124"/>
        <v>0</v>
      </c>
      <c r="K338" s="2" t="b">
        <f t="shared" si="121"/>
        <v>0</v>
      </c>
      <c r="M338" s="4" t="b">
        <f t="shared" si="122"/>
        <v>0</v>
      </c>
      <c r="N338" s="4"/>
      <c r="O338" s="4"/>
      <c r="P338" s="4"/>
      <c r="Q338" s="4"/>
    </row>
    <row r="339">
      <c r="A339" s="2">
        <f t="shared" si="78"/>
        <v>13</v>
      </c>
      <c r="B339" s="3">
        <f t="shared" si="132"/>
        <v>46111</v>
      </c>
      <c r="C339" s="2" t="s">
        <v>17</v>
      </c>
      <c r="D339" s="2" t="s">
        <v>24</v>
      </c>
      <c r="E339" s="4"/>
      <c r="F339" s="4" t="str">
        <f>VLOOKUP($E339,Instructors!$A$2:$C693,3,FALSE)</f>
        <v>#N/A</v>
      </c>
      <c r="G339" s="4" t="str">
        <f t="shared" si="14"/>
        <v/>
      </c>
      <c r="H339" s="4" t="str">
        <f t="shared" si="3"/>
        <v/>
      </c>
      <c r="J339" s="4" t="b">
        <f t="shared" si="124"/>
        <v>0</v>
      </c>
      <c r="K339" s="2" t="b">
        <f t="shared" si="121"/>
        <v>0</v>
      </c>
      <c r="M339" s="4" t="b">
        <f t="shared" si="122"/>
        <v>0</v>
      </c>
      <c r="N339" s="4"/>
      <c r="O339" s="4"/>
      <c r="P339" s="4"/>
      <c r="Q339" s="4"/>
    </row>
    <row r="340">
      <c r="A340" s="2">
        <f t="shared" si="78"/>
        <v>13</v>
      </c>
      <c r="B340" s="3">
        <f t="shared" si="132"/>
        <v>46111</v>
      </c>
      <c r="C340" s="2" t="s">
        <v>17</v>
      </c>
      <c r="D340" s="2" t="s">
        <v>29</v>
      </c>
      <c r="E340" s="4"/>
      <c r="F340" s="4" t="str">
        <f>VLOOKUP($E340,Instructors!$A$2:$C693,3,FALSE)</f>
        <v>#N/A</v>
      </c>
      <c r="G340" s="4" t="str">
        <f t="shared" si="14"/>
        <v/>
      </c>
      <c r="H340" s="4" t="str">
        <f t="shared" si="3"/>
        <v/>
      </c>
      <c r="J340" s="4" t="b">
        <f t="shared" si="124"/>
        <v>0</v>
      </c>
      <c r="K340" s="2" t="b">
        <f t="shared" si="121"/>
        <v>0</v>
      </c>
      <c r="M340" s="4" t="b">
        <f t="shared" si="122"/>
        <v>0</v>
      </c>
      <c r="N340" s="4"/>
      <c r="O340" s="4"/>
      <c r="P340" s="4"/>
      <c r="Q340" s="4"/>
    </row>
    <row r="341">
      <c r="A341" s="2">
        <f t="shared" si="78"/>
        <v>13</v>
      </c>
      <c r="B341" s="3">
        <f t="shared" si="132"/>
        <v>46111</v>
      </c>
      <c r="C341" s="2" t="s">
        <v>17</v>
      </c>
      <c r="D341" s="2" t="s">
        <v>31</v>
      </c>
      <c r="E341" s="4"/>
      <c r="F341" s="4" t="str">
        <f>VLOOKUP($E341,Instructors!$A$2:$C693,3,FALSE)</f>
        <v>#N/A</v>
      </c>
      <c r="G341" s="4" t="str">
        <f t="shared" si="14"/>
        <v/>
      </c>
      <c r="H341" s="4" t="str">
        <f t="shared" si="3"/>
        <v/>
      </c>
      <c r="J341" s="4" t="b">
        <f t="shared" si="124"/>
        <v>0</v>
      </c>
      <c r="K341" s="2" t="b">
        <f t="shared" si="121"/>
        <v>0</v>
      </c>
      <c r="M341" s="4" t="b">
        <f t="shared" si="122"/>
        <v>0</v>
      </c>
      <c r="N341" s="4"/>
      <c r="O341" s="4"/>
      <c r="P341" s="4"/>
      <c r="Q341" s="4"/>
    </row>
    <row r="342">
      <c r="A342" s="2">
        <f t="shared" si="78"/>
        <v>13</v>
      </c>
      <c r="B342" s="3">
        <f t="shared" ref="B342:B345" si="133">B338+1</f>
        <v>46112</v>
      </c>
      <c r="C342" s="2" t="s">
        <v>33</v>
      </c>
      <c r="D342" s="2" t="s">
        <v>18</v>
      </c>
      <c r="E342" s="4"/>
      <c r="F342" s="4" t="str">
        <f>VLOOKUP($E342,Instructors!$A$2:$C693,3,FALSE)</f>
        <v>#N/A</v>
      </c>
      <c r="G342" s="4" t="str">
        <f t="shared" si="14"/>
        <v/>
      </c>
      <c r="H342" s="4" t="str">
        <f t="shared" si="3"/>
        <v/>
      </c>
      <c r="J342" s="4" t="b">
        <f t="shared" si="124"/>
        <v>0</v>
      </c>
      <c r="K342" s="2" t="b">
        <f t="shared" si="121"/>
        <v>0</v>
      </c>
      <c r="M342" s="4" t="b">
        <f t="shared" si="122"/>
        <v>0</v>
      </c>
      <c r="N342" s="4"/>
      <c r="O342" s="4"/>
      <c r="P342" s="4"/>
      <c r="Q342" s="4"/>
    </row>
    <row r="343">
      <c r="A343" s="2">
        <f t="shared" si="78"/>
        <v>13</v>
      </c>
      <c r="B343" s="3">
        <f t="shared" si="133"/>
        <v>46112</v>
      </c>
      <c r="C343" s="2" t="s">
        <v>33</v>
      </c>
      <c r="D343" s="2" t="s">
        <v>24</v>
      </c>
      <c r="E343" s="4"/>
      <c r="F343" s="4" t="str">
        <f>VLOOKUP($E343,Instructors!$A$2:$C693,3,FALSE)</f>
        <v>#N/A</v>
      </c>
      <c r="G343" s="4" t="str">
        <f t="shared" si="14"/>
        <v/>
      </c>
      <c r="H343" s="4" t="str">
        <f t="shared" si="3"/>
        <v/>
      </c>
      <c r="J343" s="4" t="b">
        <f t="shared" si="124"/>
        <v>0</v>
      </c>
      <c r="K343" s="2" t="b">
        <f t="shared" si="121"/>
        <v>0</v>
      </c>
      <c r="M343" s="4" t="b">
        <f t="shared" si="122"/>
        <v>0</v>
      </c>
      <c r="N343" s="4"/>
      <c r="O343" s="4"/>
      <c r="P343" s="4"/>
      <c r="Q343" s="4"/>
    </row>
    <row r="344">
      <c r="A344" s="2">
        <f t="shared" si="78"/>
        <v>13</v>
      </c>
      <c r="B344" s="3">
        <f t="shared" si="133"/>
        <v>46112</v>
      </c>
      <c r="C344" s="2" t="s">
        <v>33</v>
      </c>
      <c r="D344" s="2" t="s">
        <v>29</v>
      </c>
      <c r="E344" s="4"/>
      <c r="F344" s="4" t="str">
        <f>VLOOKUP($E344,Instructors!$A$2:$C693,3,FALSE)</f>
        <v>#N/A</v>
      </c>
      <c r="G344" s="4" t="str">
        <f t="shared" si="14"/>
        <v/>
      </c>
      <c r="H344" s="4" t="str">
        <f t="shared" si="3"/>
        <v/>
      </c>
      <c r="J344" s="4" t="b">
        <f t="shared" si="124"/>
        <v>0</v>
      </c>
      <c r="K344" s="2" t="b">
        <f t="shared" si="121"/>
        <v>0</v>
      </c>
      <c r="M344" s="4" t="b">
        <f t="shared" si="122"/>
        <v>0</v>
      </c>
      <c r="N344" s="4"/>
      <c r="O344" s="4"/>
      <c r="P344" s="4"/>
      <c r="Q344" s="4"/>
    </row>
    <row r="345">
      <c r="A345" s="2">
        <f t="shared" si="78"/>
        <v>13</v>
      </c>
      <c r="B345" s="3">
        <f t="shared" si="133"/>
        <v>46112</v>
      </c>
      <c r="C345" s="2" t="s">
        <v>33</v>
      </c>
      <c r="D345" s="2" t="s">
        <v>31</v>
      </c>
      <c r="E345" s="4"/>
      <c r="F345" s="4" t="str">
        <f>VLOOKUP($E345,Instructors!$A$2:$C693,3,FALSE)</f>
        <v>#N/A</v>
      </c>
      <c r="G345" s="4" t="str">
        <f t="shared" si="14"/>
        <v/>
      </c>
      <c r="H345" s="4" t="str">
        <f t="shared" si="3"/>
        <v/>
      </c>
      <c r="J345" s="4" t="b">
        <f t="shared" si="124"/>
        <v>0</v>
      </c>
      <c r="K345" s="2" t="b">
        <f t="shared" si="121"/>
        <v>0</v>
      </c>
      <c r="M345" s="4" t="b">
        <f t="shared" si="122"/>
        <v>0</v>
      </c>
      <c r="N345" s="4"/>
      <c r="O345" s="4"/>
      <c r="P345" s="4"/>
      <c r="Q345" s="4"/>
    </row>
    <row r="346">
      <c r="A346" s="2">
        <f t="shared" si="78"/>
        <v>13</v>
      </c>
      <c r="B346" s="3">
        <f t="shared" ref="B346:B353" si="134">B338+2</f>
        <v>46113</v>
      </c>
      <c r="C346" s="2" t="s">
        <v>45</v>
      </c>
      <c r="D346" s="2" t="s">
        <v>18</v>
      </c>
      <c r="E346" s="4"/>
      <c r="F346" s="4" t="str">
        <f>VLOOKUP($E346,Instructors!$A$2:$C693,3,FALSE)</f>
        <v>#N/A</v>
      </c>
      <c r="G346" s="4" t="str">
        <f t="shared" si="14"/>
        <v/>
      </c>
      <c r="H346" s="4" t="str">
        <f t="shared" si="3"/>
        <v/>
      </c>
      <c r="J346" s="4" t="b">
        <f t="shared" si="124"/>
        <v>0</v>
      </c>
      <c r="K346" s="2" t="b">
        <f t="shared" si="121"/>
        <v>0</v>
      </c>
      <c r="M346" s="4" t="b">
        <f t="shared" si="122"/>
        <v>0</v>
      </c>
      <c r="N346" s="4"/>
      <c r="O346" s="4"/>
      <c r="P346" s="4"/>
      <c r="Q346" s="4"/>
    </row>
    <row r="347">
      <c r="A347" s="2">
        <f t="shared" si="78"/>
        <v>13</v>
      </c>
      <c r="B347" s="3">
        <f t="shared" si="134"/>
        <v>46113</v>
      </c>
      <c r="C347" s="2" t="s">
        <v>45</v>
      </c>
      <c r="D347" s="2" t="s">
        <v>24</v>
      </c>
      <c r="E347" s="4"/>
      <c r="F347" s="4" t="str">
        <f>VLOOKUP($E347,Instructors!$A$2:$C693,3,FALSE)</f>
        <v>#N/A</v>
      </c>
      <c r="G347" s="4" t="str">
        <f t="shared" si="14"/>
        <v/>
      </c>
      <c r="H347" s="4" t="str">
        <f t="shared" si="3"/>
        <v/>
      </c>
      <c r="J347" s="4" t="b">
        <f t="shared" si="124"/>
        <v>0</v>
      </c>
      <c r="K347" s="2" t="b">
        <f t="shared" si="121"/>
        <v>0</v>
      </c>
      <c r="M347" s="4" t="b">
        <f t="shared" si="122"/>
        <v>0</v>
      </c>
      <c r="N347" s="4"/>
      <c r="O347" s="4"/>
      <c r="P347" s="4"/>
      <c r="Q347" s="4"/>
    </row>
    <row r="348">
      <c r="A348" s="2">
        <f t="shared" si="78"/>
        <v>13</v>
      </c>
      <c r="B348" s="3">
        <f t="shared" si="134"/>
        <v>46113</v>
      </c>
      <c r="C348" s="2" t="s">
        <v>45</v>
      </c>
      <c r="D348" s="2" t="s">
        <v>29</v>
      </c>
      <c r="E348" s="4"/>
      <c r="F348" s="4" t="str">
        <f>VLOOKUP($E348,Instructors!$A$2:$C693,3,FALSE)</f>
        <v>#N/A</v>
      </c>
      <c r="G348" s="4" t="str">
        <f t="shared" si="14"/>
        <v/>
      </c>
      <c r="H348" s="4" t="str">
        <f t="shared" si="3"/>
        <v/>
      </c>
      <c r="J348" s="4" t="b">
        <f t="shared" si="124"/>
        <v>0</v>
      </c>
      <c r="K348" s="2" t="b">
        <f t="shared" si="121"/>
        <v>0</v>
      </c>
      <c r="M348" s="4" t="b">
        <f t="shared" si="122"/>
        <v>0</v>
      </c>
      <c r="N348" s="4"/>
      <c r="O348" s="4"/>
      <c r="P348" s="4"/>
      <c r="Q348" s="4"/>
    </row>
    <row r="349">
      <c r="A349" s="2">
        <f t="shared" si="78"/>
        <v>13</v>
      </c>
      <c r="B349" s="3">
        <f t="shared" si="134"/>
        <v>46113</v>
      </c>
      <c r="C349" s="2" t="s">
        <v>45</v>
      </c>
      <c r="D349" s="2" t="s">
        <v>31</v>
      </c>
      <c r="E349" s="4"/>
      <c r="F349" s="4" t="str">
        <f>VLOOKUP($E349,Instructors!$A$2:$C693,3,FALSE)</f>
        <v>#N/A</v>
      </c>
      <c r="G349" s="4" t="str">
        <f t="shared" si="14"/>
        <v/>
      </c>
      <c r="H349" s="4" t="str">
        <f t="shared" si="3"/>
        <v/>
      </c>
      <c r="J349" s="4" t="b">
        <f t="shared" si="124"/>
        <v>0</v>
      </c>
      <c r="K349" s="2" t="b">
        <f t="shared" si="121"/>
        <v>0</v>
      </c>
      <c r="M349" s="4" t="b">
        <f t="shared" si="122"/>
        <v>0</v>
      </c>
      <c r="N349" s="4"/>
      <c r="O349" s="4"/>
      <c r="P349" s="4"/>
      <c r="Q349" s="4"/>
    </row>
    <row r="350">
      <c r="A350" s="2">
        <f t="shared" si="78"/>
        <v>13</v>
      </c>
      <c r="B350" s="3">
        <f t="shared" si="134"/>
        <v>46114</v>
      </c>
      <c r="C350" s="2" t="s">
        <v>57</v>
      </c>
      <c r="D350" s="2" t="s">
        <v>18</v>
      </c>
      <c r="E350" s="4"/>
      <c r="F350" s="4" t="str">
        <f>VLOOKUP($E350,Instructors!$A$2:$C693,3,FALSE)</f>
        <v>#N/A</v>
      </c>
      <c r="G350" s="4" t="str">
        <f t="shared" si="14"/>
        <v/>
      </c>
      <c r="H350" s="4" t="str">
        <f t="shared" si="3"/>
        <v/>
      </c>
      <c r="J350" s="4" t="b">
        <f t="shared" si="124"/>
        <v>0</v>
      </c>
      <c r="K350" s="2" t="b">
        <f t="shared" si="121"/>
        <v>0</v>
      </c>
      <c r="M350" s="4" t="b">
        <f t="shared" si="122"/>
        <v>0</v>
      </c>
      <c r="N350" s="4"/>
      <c r="O350" s="4"/>
      <c r="P350" s="4"/>
      <c r="Q350" s="4"/>
    </row>
    <row r="351">
      <c r="A351" s="2">
        <f t="shared" si="78"/>
        <v>13</v>
      </c>
      <c r="B351" s="3">
        <f t="shared" si="134"/>
        <v>46114</v>
      </c>
      <c r="C351" s="2" t="s">
        <v>57</v>
      </c>
      <c r="D351" s="2" t="s">
        <v>24</v>
      </c>
      <c r="E351" s="4"/>
      <c r="F351" s="4" t="str">
        <f>VLOOKUP($E351,Instructors!$A$2:$C693,3,FALSE)</f>
        <v>#N/A</v>
      </c>
      <c r="G351" s="4" t="str">
        <f t="shared" si="14"/>
        <v/>
      </c>
      <c r="H351" s="4" t="str">
        <f t="shared" si="3"/>
        <v/>
      </c>
      <c r="J351" s="4" t="b">
        <f t="shared" si="124"/>
        <v>0</v>
      </c>
      <c r="K351" s="2" t="b">
        <f t="shared" si="121"/>
        <v>0</v>
      </c>
      <c r="M351" s="4" t="b">
        <f t="shared" si="122"/>
        <v>0</v>
      </c>
      <c r="N351" s="4"/>
      <c r="O351" s="4"/>
      <c r="P351" s="4"/>
      <c r="Q351" s="4"/>
    </row>
    <row r="352">
      <c r="A352" s="2">
        <f t="shared" si="78"/>
        <v>13</v>
      </c>
      <c r="B352" s="3">
        <f t="shared" si="134"/>
        <v>46114</v>
      </c>
      <c r="C352" s="2" t="s">
        <v>57</v>
      </c>
      <c r="D352" s="2" t="s">
        <v>29</v>
      </c>
      <c r="E352" s="4"/>
      <c r="F352" s="4" t="str">
        <f>VLOOKUP($E352,Instructors!$A$2:$C693,3,FALSE)</f>
        <v>#N/A</v>
      </c>
      <c r="G352" s="4" t="str">
        <f t="shared" si="14"/>
        <v/>
      </c>
      <c r="H352" s="4" t="str">
        <f t="shared" si="3"/>
        <v/>
      </c>
      <c r="J352" s="4" t="b">
        <f t="shared" si="124"/>
        <v>0</v>
      </c>
      <c r="K352" s="2" t="b">
        <f t="shared" si="121"/>
        <v>0</v>
      </c>
      <c r="M352" s="4" t="b">
        <f t="shared" si="122"/>
        <v>0</v>
      </c>
      <c r="N352" s="4"/>
      <c r="O352" s="4"/>
      <c r="P352" s="4"/>
      <c r="Q352" s="4"/>
    </row>
    <row r="353">
      <c r="A353" s="2">
        <f t="shared" si="78"/>
        <v>13</v>
      </c>
      <c r="B353" s="3">
        <f t="shared" si="134"/>
        <v>46114</v>
      </c>
      <c r="C353" s="2" t="s">
        <v>57</v>
      </c>
      <c r="D353" s="2" t="s">
        <v>31</v>
      </c>
      <c r="E353" s="4"/>
      <c r="F353" s="4" t="str">
        <f>VLOOKUP($E353,Instructors!$A$2:$C693,3,FALSE)</f>
        <v>#N/A</v>
      </c>
      <c r="G353" s="4" t="str">
        <f t="shared" si="14"/>
        <v/>
      </c>
      <c r="H353" s="4" t="str">
        <f t="shared" si="3"/>
        <v/>
      </c>
      <c r="J353" s="4" t="b">
        <f t="shared" si="124"/>
        <v>0</v>
      </c>
      <c r="K353" s="2" t="b">
        <f t="shared" si="121"/>
        <v>0</v>
      </c>
      <c r="M353" s="4" t="b">
        <f t="shared" si="122"/>
        <v>0</v>
      </c>
      <c r="N353" s="4"/>
      <c r="O353" s="4"/>
      <c r="P353" s="4"/>
      <c r="Q353" s="4"/>
    </row>
    <row r="354">
      <c r="A354" s="2">
        <f t="shared" si="78"/>
        <v>13</v>
      </c>
      <c r="B354" s="3">
        <f t="shared" ref="B354:B357" si="135">B350+1</f>
        <v>46115</v>
      </c>
      <c r="C354" s="2" t="s">
        <v>73</v>
      </c>
      <c r="D354" s="2" t="s">
        <v>18</v>
      </c>
      <c r="E354" s="4"/>
      <c r="F354" s="4" t="str">
        <f>VLOOKUP($E354,Instructors!$A$2:$C693,3,FALSE)</f>
        <v>#N/A</v>
      </c>
      <c r="G354" s="4" t="str">
        <f t="shared" si="14"/>
        <v/>
      </c>
      <c r="H354" s="4" t="str">
        <f t="shared" si="3"/>
        <v/>
      </c>
      <c r="J354" s="4" t="b">
        <f t="shared" si="124"/>
        <v>0</v>
      </c>
      <c r="K354" s="2" t="b">
        <f t="shared" si="121"/>
        <v>0</v>
      </c>
      <c r="M354" s="4" t="b">
        <f t="shared" si="122"/>
        <v>0</v>
      </c>
      <c r="N354" s="4"/>
      <c r="O354" s="4"/>
      <c r="P354" s="4"/>
      <c r="Q354" s="4"/>
    </row>
    <row r="355">
      <c r="A355" s="2">
        <f t="shared" si="78"/>
        <v>13</v>
      </c>
      <c r="B355" s="3">
        <f t="shared" si="135"/>
        <v>46115</v>
      </c>
      <c r="C355" s="2" t="s">
        <v>73</v>
      </c>
      <c r="D355" s="2" t="s">
        <v>24</v>
      </c>
      <c r="E355" s="4"/>
      <c r="F355" s="4" t="str">
        <f>VLOOKUP($E355,Instructors!$A$2:$C693,3,FALSE)</f>
        <v>#N/A</v>
      </c>
      <c r="G355" s="4" t="str">
        <f t="shared" si="14"/>
        <v/>
      </c>
      <c r="H355" s="4" t="str">
        <f t="shared" si="3"/>
        <v/>
      </c>
      <c r="J355" s="4" t="b">
        <f t="shared" si="124"/>
        <v>0</v>
      </c>
      <c r="K355" s="2" t="b">
        <f t="shared" si="121"/>
        <v>0</v>
      </c>
      <c r="M355" s="4" t="b">
        <f t="shared" si="122"/>
        <v>0</v>
      </c>
      <c r="N355" s="4"/>
      <c r="O355" s="4"/>
      <c r="P355" s="4"/>
      <c r="Q355" s="4"/>
    </row>
    <row r="356">
      <c r="A356" s="2">
        <f t="shared" si="78"/>
        <v>13</v>
      </c>
      <c r="B356" s="3">
        <f t="shared" si="135"/>
        <v>46115</v>
      </c>
      <c r="C356" s="2" t="s">
        <v>73</v>
      </c>
      <c r="D356" s="2" t="s">
        <v>29</v>
      </c>
      <c r="E356" s="4"/>
      <c r="F356" s="4" t="str">
        <f>VLOOKUP($E356,Instructors!$A$2:$C693,3,FALSE)</f>
        <v>#N/A</v>
      </c>
      <c r="G356" s="4" t="str">
        <f t="shared" si="14"/>
        <v/>
      </c>
      <c r="H356" s="4" t="str">
        <f t="shared" si="3"/>
        <v/>
      </c>
      <c r="J356" s="4" t="b">
        <f t="shared" si="124"/>
        <v>0</v>
      </c>
      <c r="K356" s="2" t="b">
        <f t="shared" si="121"/>
        <v>0</v>
      </c>
      <c r="M356" s="4" t="b">
        <f t="shared" si="122"/>
        <v>0</v>
      </c>
      <c r="N356" s="4"/>
      <c r="O356" s="4"/>
      <c r="P356" s="4"/>
      <c r="Q356" s="4"/>
    </row>
    <row r="357">
      <c r="A357" s="2">
        <f t="shared" si="78"/>
        <v>13</v>
      </c>
      <c r="B357" s="3">
        <f t="shared" si="135"/>
        <v>46115</v>
      </c>
      <c r="C357" s="2" t="s">
        <v>73</v>
      </c>
      <c r="D357" s="2" t="s">
        <v>31</v>
      </c>
      <c r="E357" s="4"/>
      <c r="F357" s="4" t="str">
        <f>VLOOKUP($E357,Instructors!$A$2:$C693,3,FALSE)</f>
        <v>#N/A</v>
      </c>
      <c r="G357" s="4" t="str">
        <f t="shared" si="14"/>
        <v/>
      </c>
      <c r="H357" s="4" t="str">
        <f t="shared" si="3"/>
        <v/>
      </c>
      <c r="J357" s="4" t="b">
        <f t="shared" si="124"/>
        <v>0</v>
      </c>
      <c r="K357" s="2" t="b">
        <f t="shared" si="121"/>
        <v>0</v>
      </c>
      <c r="M357" s="4" t="b">
        <f t="shared" si="122"/>
        <v>0</v>
      </c>
      <c r="N357" s="4"/>
      <c r="O357" s="4"/>
      <c r="P357" s="4"/>
      <c r="Q357" s="4"/>
    </row>
    <row r="358">
      <c r="A358" s="2">
        <f t="shared" si="78"/>
        <v>13</v>
      </c>
      <c r="B358" s="3">
        <f t="shared" ref="B358:B361" si="136">B350+2</f>
        <v>46116</v>
      </c>
      <c r="C358" s="2" t="s">
        <v>86</v>
      </c>
      <c r="D358" s="2" t="s">
        <v>18</v>
      </c>
      <c r="E358" s="4"/>
      <c r="F358" s="4" t="str">
        <f>VLOOKUP($E358,Instructors!$A$2:$C693,3,FALSE)</f>
        <v>#N/A</v>
      </c>
      <c r="G358" s="4" t="str">
        <f t="shared" si="14"/>
        <v/>
      </c>
      <c r="H358" s="4" t="str">
        <f t="shared" si="3"/>
        <v/>
      </c>
      <c r="J358" s="4" t="b">
        <f t="shared" si="124"/>
        <v>0</v>
      </c>
      <c r="K358" s="2" t="b">
        <f t="shared" si="121"/>
        <v>0</v>
      </c>
      <c r="M358" s="4" t="b">
        <f t="shared" si="122"/>
        <v>0</v>
      </c>
      <c r="N358" s="4"/>
      <c r="O358" s="4"/>
      <c r="P358" s="4"/>
      <c r="Q358" s="4"/>
    </row>
    <row r="359">
      <c r="A359" s="2">
        <f t="shared" si="78"/>
        <v>13</v>
      </c>
      <c r="B359" s="3">
        <f t="shared" si="136"/>
        <v>46116</v>
      </c>
      <c r="C359" s="2" t="s">
        <v>86</v>
      </c>
      <c r="D359" s="2" t="s">
        <v>24</v>
      </c>
      <c r="E359" s="4"/>
      <c r="F359" s="4" t="str">
        <f>VLOOKUP($E359,Instructors!$A$2:$C693,3,FALSE)</f>
        <v>#N/A</v>
      </c>
      <c r="G359" s="4" t="str">
        <f t="shared" si="14"/>
        <v/>
      </c>
      <c r="H359" s="4" t="str">
        <f t="shared" si="3"/>
        <v/>
      </c>
      <c r="J359" s="4" t="b">
        <f t="shared" si="124"/>
        <v>0</v>
      </c>
      <c r="K359" s="2" t="b">
        <f t="shared" si="121"/>
        <v>0</v>
      </c>
      <c r="M359" s="4" t="b">
        <f t="shared" si="122"/>
        <v>0</v>
      </c>
      <c r="N359" s="4"/>
      <c r="O359" s="4"/>
      <c r="P359" s="4"/>
      <c r="Q359" s="4"/>
    </row>
    <row r="360">
      <c r="A360" s="2">
        <f t="shared" si="78"/>
        <v>13</v>
      </c>
      <c r="B360" s="3">
        <f t="shared" si="136"/>
        <v>46116</v>
      </c>
      <c r="C360" s="2" t="s">
        <v>86</v>
      </c>
      <c r="D360" s="2" t="s">
        <v>29</v>
      </c>
      <c r="E360" s="4"/>
      <c r="F360" s="4" t="str">
        <f>VLOOKUP($E360,Instructors!$A$2:$C693,3,FALSE)</f>
        <v>#N/A</v>
      </c>
      <c r="G360" s="4" t="str">
        <f t="shared" si="14"/>
        <v/>
      </c>
      <c r="H360" s="4" t="str">
        <f t="shared" si="3"/>
        <v/>
      </c>
      <c r="J360" s="4" t="b">
        <f t="shared" si="124"/>
        <v>0</v>
      </c>
      <c r="K360" s="2" t="b">
        <f t="shared" si="121"/>
        <v>0</v>
      </c>
      <c r="M360" s="4" t="b">
        <f t="shared" si="122"/>
        <v>0</v>
      </c>
      <c r="N360" s="4"/>
      <c r="O360" s="4"/>
      <c r="P360" s="4"/>
      <c r="Q360" s="4"/>
    </row>
    <row r="361">
      <c r="A361" s="2">
        <f t="shared" si="78"/>
        <v>13</v>
      </c>
      <c r="B361" s="3">
        <f t="shared" si="136"/>
        <v>46116</v>
      </c>
      <c r="C361" s="2" t="s">
        <v>86</v>
      </c>
      <c r="D361" s="2" t="s">
        <v>31</v>
      </c>
      <c r="E361" s="4"/>
      <c r="F361" s="4" t="str">
        <f>VLOOKUP($E361,Instructors!$A$2:$C693,3,FALSE)</f>
        <v>#N/A</v>
      </c>
      <c r="G361" s="4" t="str">
        <f t="shared" si="14"/>
        <v/>
      </c>
      <c r="H361" s="4" t="str">
        <f t="shared" si="3"/>
        <v/>
      </c>
      <c r="J361" s="4" t="b">
        <f t="shared" si="124"/>
        <v>0</v>
      </c>
      <c r="K361" s="2" t="b">
        <f t="shared" si="121"/>
        <v>0</v>
      </c>
      <c r="M361" s="4" t="b">
        <f t="shared" si="122"/>
        <v>0</v>
      </c>
      <c r="N361" s="4"/>
      <c r="O361" s="4"/>
      <c r="P361" s="4"/>
      <c r="Q361" s="4"/>
    </row>
    <row r="362">
      <c r="A362" s="2">
        <f t="shared" si="78"/>
        <v>13</v>
      </c>
      <c r="B362" s="3">
        <f t="shared" ref="B362:B365" si="137">B358+1</f>
        <v>46117</v>
      </c>
      <c r="C362" s="2" t="s">
        <v>93</v>
      </c>
      <c r="D362" s="2" t="s">
        <v>18</v>
      </c>
      <c r="E362" s="4"/>
      <c r="F362" s="4" t="str">
        <f>VLOOKUP($E362,Instructors!$A$2:$C693,3,FALSE)</f>
        <v>#N/A</v>
      </c>
      <c r="G362" s="4" t="str">
        <f t="shared" si="14"/>
        <v/>
      </c>
      <c r="H362" s="4" t="str">
        <f t="shared" si="3"/>
        <v/>
      </c>
      <c r="J362" s="4" t="b">
        <f t="shared" si="124"/>
        <v>0</v>
      </c>
      <c r="K362" s="2" t="b">
        <f t="shared" si="121"/>
        <v>0</v>
      </c>
      <c r="M362" s="4" t="b">
        <f t="shared" si="122"/>
        <v>0</v>
      </c>
      <c r="N362" s="4"/>
      <c r="O362" s="4"/>
      <c r="P362" s="4"/>
      <c r="Q362" s="4"/>
    </row>
    <row r="363">
      <c r="A363" s="2">
        <f t="shared" si="78"/>
        <v>13</v>
      </c>
      <c r="B363" s="3">
        <f t="shared" si="137"/>
        <v>46117</v>
      </c>
      <c r="C363" s="2" t="s">
        <v>93</v>
      </c>
      <c r="D363" s="2" t="s">
        <v>24</v>
      </c>
      <c r="E363" s="4"/>
      <c r="F363" s="4" t="str">
        <f>VLOOKUP($E363,Instructors!$A$2:$C693,3,FALSE)</f>
        <v>#N/A</v>
      </c>
      <c r="G363" s="4" t="str">
        <f t="shared" si="14"/>
        <v/>
      </c>
      <c r="H363" s="4" t="str">
        <f t="shared" si="3"/>
        <v/>
      </c>
      <c r="J363" s="4" t="b">
        <f t="shared" si="124"/>
        <v>0</v>
      </c>
      <c r="K363" s="2" t="b">
        <f t="shared" si="121"/>
        <v>0</v>
      </c>
      <c r="M363" s="4" t="b">
        <f t="shared" si="122"/>
        <v>0</v>
      </c>
      <c r="N363" s="4"/>
      <c r="O363" s="4"/>
      <c r="P363" s="4"/>
      <c r="Q363" s="4"/>
    </row>
    <row r="364">
      <c r="A364" s="2">
        <f t="shared" si="78"/>
        <v>13</v>
      </c>
      <c r="B364" s="3">
        <f t="shared" si="137"/>
        <v>46117</v>
      </c>
      <c r="C364" s="2" t="s">
        <v>93</v>
      </c>
      <c r="D364" s="2" t="s">
        <v>29</v>
      </c>
      <c r="E364" s="4"/>
      <c r="F364" s="4" t="str">
        <f>VLOOKUP($E364,Instructors!$A$2:$C693,3,FALSE)</f>
        <v>#N/A</v>
      </c>
      <c r="G364" s="4" t="str">
        <f t="shared" si="14"/>
        <v/>
      </c>
      <c r="H364" s="4" t="str">
        <f t="shared" si="3"/>
        <v/>
      </c>
      <c r="J364" s="4" t="b">
        <f t="shared" si="124"/>
        <v>0</v>
      </c>
      <c r="K364" s="2" t="b">
        <f t="shared" si="121"/>
        <v>0</v>
      </c>
      <c r="M364" s="4" t="b">
        <f t="shared" si="122"/>
        <v>0</v>
      </c>
      <c r="N364" s="4"/>
      <c r="O364" s="4"/>
      <c r="P364" s="4"/>
      <c r="Q364" s="4"/>
    </row>
    <row r="365">
      <c r="A365" s="2">
        <f t="shared" si="78"/>
        <v>13</v>
      </c>
      <c r="B365" s="3">
        <f t="shared" si="137"/>
        <v>46117</v>
      </c>
      <c r="C365" s="2" t="s">
        <v>93</v>
      </c>
      <c r="D365" s="2" t="s">
        <v>31</v>
      </c>
      <c r="E365" s="4"/>
      <c r="F365" s="4" t="str">
        <f>VLOOKUP($E365,Instructors!$A$2:$C693,3,FALSE)</f>
        <v>#N/A</v>
      </c>
      <c r="G365" s="4" t="str">
        <f t="shared" si="14"/>
        <v/>
      </c>
      <c r="H365" s="4" t="str">
        <f t="shared" si="3"/>
        <v/>
      </c>
      <c r="J365" s="4" t="b">
        <f t="shared" si="124"/>
        <v>0</v>
      </c>
      <c r="K365" s="2" t="b">
        <f t="shared" si="121"/>
        <v>0</v>
      </c>
      <c r="M365" s="4" t="b">
        <f t="shared" si="122"/>
        <v>0</v>
      </c>
      <c r="N365" s="4"/>
      <c r="O365" s="4"/>
      <c r="P365" s="4"/>
      <c r="Q365" s="4"/>
    </row>
    <row r="366">
      <c r="A366" s="2">
        <f t="shared" si="78"/>
        <v>14</v>
      </c>
      <c r="B366" s="3">
        <f t="shared" ref="B366:B369" si="138">B358+2</f>
        <v>46118</v>
      </c>
      <c r="C366" s="2" t="s">
        <v>17</v>
      </c>
      <c r="D366" s="2" t="s">
        <v>18</v>
      </c>
      <c r="E366" s="4"/>
      <c r="F366" s="4" t="str">
        <f>VLOOKUP($E366,Instructors!$A$2:$C693,3,FALSE)</f>
        <v>#N/A</v>
      </c>
      <c r="G366" s="4" t="str">
        <f t="shared" si="14"/>
        <v/>
      </c>
      <c r="H366" s="4" t="str">
        <f t="shared" si="3"/>
        <v/>
      </c>
      <c r="J366" s="4" t="b">
        <f t="shared" si="124"/>
        <v>0</v>
      </c>
      <c r="K366" s="2" t="b">
        <f t="shared" si="121"/>
        <v>0</v>
      </c>
      <c r="M366" s="4" t="b">
        <f t="shared" si="122"/>
        <v>0</v>
      </c>
      <c r="N366" s="4"/>
      <c r="O366" s="4"/>
      <c r="P366" s="4"/>
      <c r="Q366" s="4"/>
    </row>
    <row r="367">
      <c r="A367" s="2">
        <f t="shared" si="78"/>
        <v>14</v>
      </c>
      <c r="B367" s="3">
        <f t="shared" si="138"/>
        <v>46118</v>
      </c>
      <c r="C367" s="2" t="s">
        <v>17</v>
      </c>
      <c r="D367" s="2" t="s">
        <v>24</v>
      </c>
      <c r="E367" s="4"/>
      <c r="F367" s="4" t="str">
        <f>VLOOKUP($E367,Instructors!$A$2:$C693,3,FALSE)</f>
        <v>#N/A</v>
      </c>
      <c r="G367" s="4" t="str">
        <f t="shared" si="14"/>
        <v/>
      </c>
      <c r="H367" s="4" t="str">
        <f t="shared" si="3"/>
        <v/>
      </c>
      <c r="J367" s="4" t="b">
        <f t="shared" si="124"/>
        <v>0</v>
      </c>
      <c r="K367" s="2" t="b">
        <f t="shared" si="121"/>
        <v>0</v>
      </c>
      <c r="M367" s="4" t="b">
        <f t="shared" si="122"/>
        <v>0</v>
      </c>
      <c r="N367" s="4"/>
      <c r="O367" s="4"/>
      <c r="P367" s="4"/>
      <c r="Q367" s="4"/>
    </row>
    <row r="368">
      <c r="A368" s="2">
        <f t="shared" si="78"/>
        <v>14</v>
      </c>
      <c r="B368" s="3">
        <f t="shared" si="138"/>
        <v>46118</v>
      </c>
      <c r="C368" s="2" t="s">
        <v>17</v>
      </c>
      <c r="D368" s="2" t="s">
        <v>29</v>
      </c>
      <c r="E368" s="4"/>
      <c r="F368" s="4" t="str">
        <f>VLOOKUP($E368,Instructors!$A$2:$C693,3,FALSE)</f>
        <v>#N/A</v>
      </c>
      <c r="G368" s="4" t="str">
        <f t="shared" si="14"/>
        <v/>
      </c>
      <c r="H368" s="4" t="str">
        <f t="shared" si="3"/>
        <v/>
      </c>
      <c r="J368" s="4" t="b">
        <f t="shared" si="124"/>
        <v>0</v>
      </c>
      <c r="K368" s="2" t="b">
        <f t="shared" si="121"/>
        <v>0</v>
      </c>
      <c r="M368" s="4" t="b">
        <f t="shared" si="122"/>
        <v>0</v>
      </c>
      <c r="N368" s="4"/>
      <c r="O368" s="4"/>
      <c r="P368" s="4"/>
      <c r="Q368" s="4"/>
    </row>
    <row r="369">
      <c r="A369" s="2">
        <f t="shared" si="78"/>
        <v>14</v>
      </c>
      <c r="B369" s="3">
        <f t="shared" si="138"/>
        <v>46118</v>
      </c>
      <c r="C369" s="2" t="s">
        <v>17</v>
      </c>
      <c r="D369" s="2" t="s">
        <v>31</v>
      </c>
      <c r="E369" s="4"/>
      <c r="F369" s="4" t="str">
        <f>VLOOKUP($E369,Instructors!$A$2:$C693,3,FALSE)</f>
        <v>#N/A</v>
      </c>
      <c r="G369" s="4" t="str">
        <f t="shared" si="14"/>
        <v/>
      </c>
      <c r="H369" s="4" t="str">
        <f t="shared" si="3"/>
        <v/>
      </c>
      <c r="J369" s="4" t="b">
        <f t="shared" si="124"/>
        <v>0</v>
      </c>
      <c r="K369" s="2" t="b">
        <f t="shared" si="121"/>
        <v>0</v>
      </c>
      <c r="M369" s="4" t="b">
        <f t="shared" si="122"/>
        <v>0</v>
      </c>
      <c r="N369" s="4"/>
      <c r="O369" s="4"/>
      <c r="P369" s="4"/>
      <c r="Q369" s="4"/>
    </row>
    <row r="370">
      <c r="A370" s="2">
        <f t="shared" si="78"/>
        <v>14</v>
      </c>
      <c r="B370" s="3">
        <f t="shared" ref="B370:B373" si="139">B366+1</f>
        <v>46119</v>
      </c>
      <c r="C370" s="2" t="s">
        <v>33</v>
      </c>
      <c r="D370" s="2" t="s">
        <v>18</v>
      </c>
      <c r="E370" s="4"/>
      <c r="F370" s="4" t="str">
        <f>VLOOKUP($E370,Instructors!$A$2:$C693,3,FALSE)</f>
        <v>#N/A</v>
      </c>
      <c r="G370" s="4" t="str">
        <f t="shared" si="14"/>
        <v/>
      </c>
      <c r="H370" s="4" t="str">
        <f t="shared" si="3"/>
        <v/>
      </c>
      <c r="J370" s="4" t="b">
        <f t="shared" si="124"/>
        <v>0</v>
      </c>
      <c r="K370" s="2" t="b">
        <f t="shared" si="121"/>
        <v>0</v>
      </c>
      <c r="M370" s="4" t="b">
        <f t="shared" si="122"/>
        <v>0</v>
      </c>
      <c r="N370" s="4"/>
      <c r="O370" s="4"/>
      <c r="P370" s="4"/>
      <c r="Q370" s="4"/>
    </row>
    <row r="371">
      <c r="A371" s="2">
        <f t="shared" si="78"/>
        <v>14</v>
      </c>
      <c r="B371" s="3">
        <f t="shared" si="139"/>
        <v>46119</v>
      </c>
      <c r="C371" s="2" t="s">
        <v>33</v>
      </c>
      <c r="D371" s="2" t="s">
        <v>24</v>
      </c>
      <c r="E371" s="4"/>
      <c r="F371" s="4" t="str">
        <f>VLOOKUP($E371,Instructors!$A$2:$C693,3,FALSE)</f>
        <v>#N/A</v>
      </c>
      <c r="G371" s="4" t="str">
        <f t="shared" si="14"/>
        <v/>
      </c>
      <c r="H371" s="4" t="str">
        <f t="shared" si="3"/>
        <v/>
      </c>
      <c r="J371" s="4" t="b">
        <f t="shared" si="124"/>
        <v>0</v>
      </c>
      <c r="K371" s="2" t="b">
        <f t="shared" si="121"/>
        <v>0</v>
      </c>
      <c r="M371" s="4" t="b">
        <f t="shared" si="122"/>
        <v>0</v>
      </c>
      <c r="N371" s="4"/>
      <c r="O371" s="4"/>
      <c r="P371" s="4"/>
      <c r="Q371" s="4"/>
    </row>
    <row r="372">
      <c r="A372" s="2">
        <f t="shared" si="78"/>
        <v>14</v>
      </c>
      <c r="B372" s="3">
        <f t="shared" si="139"/>
        <v>46119</v>
      </c>
      <c r="C372" s="2" t="s">
        <v>33</v>
      </c>
      <c r="D372" s="2" t="s">
        <v>29</v>
      </c>
      <c r="E372" s="4"/>
      <c r="F372" s="4" t="str">
        <f>VLOOKUP($E372,Instructors!$A$2:$C693,3,FALSE)</f>
        <v>#N/A</v>
      </c>
      <c r="G372" s="4" t="str">
        <f t="shared" si="14"/>
        <v/>
      </c>
      <c r="H372" s="4" t="str">
        <f t="shared" si="3"/>
        <v/>
      </c>
      <c r="J372" s="4" t="b">
        <f t="shared" si="124"/>
        <v>0</v>
      </c>
      <c r="K372" s="2" t="b">
        <f t="shared" si="121"/>
        <v>0</v>
      </c>
      <c r="M372" s="4" t="b">
        <f t="shared" si="122"/>
        <v>0</v>
      </c>
      <c r="N372" s="4"/>
      <c r="O372" s="4"/>
      <c r="P372" s="4"/>
      <c r="Q372" s="4"/>
    </row>
    <row r="373">
      <c r="A373" s="2">
        <f t="shared" si="78"/>
        <v>14</v>
      </c>
      <c r="B373" s="3">
        <f t="shared" si="139"/>
        <v>46119</v>
      </c>
      <c r="C373" s="2" t="s">
        <v>33</v>
      </c>
      <c r="D373" s="2" t="s">
        <v>31</v>
      </c>
      <c r="E373" s="4"/>
      <c r="F373" s="4" t="str">
        <f>VLOOKUP($E373,Instructors!$A$2:$C693,3,FALSE)</f>
        <v>#N/A</v>
      </c>
      <c r="G373" s="4" t="str">
        <f t="shared" si="14"/>
        <v/>
      </c>
      <c r="H373" s="4" t="str">
        <f t="shared" si="3"/>
        <v/>
      </c>
      <c r="J373" s="4" t="b">
        <f t="shared" si="124"/>
        <v>0</v>
      </c>
      <c r="K373" s="2" t="b">
        <f t="shared" si="121"/>
        <v>0</v>
      </c>
      <c r="M373" s="4" t="b">
        <f t="shared" si="122"/>
        <v>0</v>
      </c>
      <c r="N373" s="4"/>
      <c r="O373" s="4"/>
      <c r="P373" s="4"/>
      <c r="Q373" s="4"/>
    </row>
    <row r="374">
      <c r="A374" s="2">
        <f t="shared" si="78"/>
        <v>14</v>
      </c>
      <c r="B374" s="3">
        <f t="shared" ref="B374:B381" si="140">B366+2</f>
        <v>46120</v>
      </c>
      <c r="C374" s="2" t="s">
        <v>45</v>
      </c>
      <c r="D374" s="2" t="s">
        <v>18</v>
      </c>
      <c r="E374" s="4"/>
      <c r="F374" s="4" t="str">
        <f>VLOOKUP($E374,Instructors!$A$2:$C693,3,FALSE)</f>
        <v>#N/A</v>
      </c>
      <c r="G374" s="4" t="str">
        <f t="shared" si="14"/>
        <v/>
      </c>
      <c r="H374" s="4" t="str">
        <f t="shared" si="3"/>
        <v/>
      </c>
      <c r="J374" s="4" t="b">
        <f t="shared" si="124"/>
        <v>0</v>
      </c>
      <c r="K374" s="2" t="b">
        <f t="shared" si="121"/>
        <v>0</v>
      </c>
      <c r="M374" s="4" t="b">
        <f t="shared" si="122"/>
        <v>0</v>
      </c>
      <c r="N374" s="4"/>
      <c r="O374" s="4"/>
      <c r="P374" s="4"/>
      <c r="Q374" s="4"/>
    </row>
    <row r="375">
      <c r="A375" s="2">
        <f t="shared" si="78"/>
        <v>14</v>
      </c>
      <c r="B375" s="3">
        <f t="shared" si="140"/>
        <v>46120</v>
      </c>
      <c r="C375" s="2" t="s">
        <v>45</v>
      </c>
      <c r="D375" s="2" t="s">
        <v>24</v>
      </c>
      <c r="E375" s="4"/>
      <c r="F375" s="4" t="str">
        <f>VLOOKUP($E375,Instructors!$A$2:$C693,3,FALSE)</f>
        <v>#N/A</v>
      </c>
      <c r="G375" s="4" t="str">
        <f t="shared" si="14"/>
        <v/>
      </c>
      <c r="H375" s="4" t="str">
        <f t="shared" si="3"/>
        <v/>
      </c>
      <c r="J375" s="4" t="b">
        <f t="shared" si="124"/>
        <v>0</v>
      </c>
      <c r="K375" s="2" t="b">
        <f t="shared" si="121"/>
        <v>0</v>
      </c>
      <c r="M375" s="4" t="b">
        <f t="shared" si="122"/>
        <v>0</v>
      </c>
      <c r="N375" s="4"/>
      <c r="O375" s="4"/>
      <c r="P375" s="4"/>
      <c r="Q375" s="4"/>
    </row>
    <row r="376">
      <c r="A376" s="2">
        <f t="shared" si="78"/>
        <v>14</v>
      </c>
      <c r="B376" s="3">
        <f t="shared" si="140"/>
        <v>46120</v>
      </c>
      <c r="C376" s="2" t="s">
        <v>45</v>
      </c>
      <c r="D376" s="2" t="s">
        <v>29</v>
      </c>
      <c r="E376" s="4"/>
      <c r="F376" s="4" t="str">
        <f>VLOOKUP($E376,Instructors!$A$2:$C693,3,FALSE)</f>
        <v>#N/A</v>
      </c>
      <c r="G376" s="4" t="str">
        <f t="shared" si="14"/>
        <v/>
      </c>
      <c r="H376" s="4" t="str">
        <f t="shared" si="3"/>
        <v/>
      </c>
      <c r="J376" s="4" t="b">
        <f t="shared" si="124"/>
        <v>0</v>
      </c>
      <c r="K376" s="2" t="b">
        <f t="shared" si="121"/>
        <v>0</v>
      </c>
      <c r="M376" s="4" t="b">
        <f t="shared" si="122"/>
        <v>0</v>
      </c>
      <c r="N376" s="4"/>
      <c r="O376" s="4"/>
      <c r="P376" s="4"/>
      <c r="Q376" s="4"/>
    </row>
    <row r="377">
      <c r="A377" s="2">
        <f t="shared" si="78"/>
        <v>14</v>
      </c>
      <c r="B377" s="3">
        <f t="shared" si="140"/>
        <v>46120</v>
      </c>
      <c r="C377" s="2" t="s">
        <v>45</v>
      </c>
      <c r="D377" s="2" t="s">
        <v>31</v>
      </c>
      <c r="E377" s="4"/>
      <c r="F377" s="4" t="str">
        <f>VLOOKUP($E377,Instructors!$A$2:$C693,3,FALSE)</f>
        <v>#N/A</v>
      </c>
      <c r="G377" s="4" t="str">
        <f t="shared" si="14"/>
        <v/>
      </c>
      <c r="H377" s="4" t="str">
        <f t="shared" si="3"/>
        <v/>
      </c>
      <c r="J377" s="4" t="b">
        <f t="shared" si="124"/>
        <v>0</v>
      </c>
      <c r="K377" s="2" t="b">
        <f t="shared" si="121"/>
        <v>0</v>
      </c>
      <c r="M377" s="4" t="b">
        <f t="shared" si="122"/>
        <v>0</v>
      </c>
      <c r="N377" s="4"/>
      <c r="O377" s="4"/>
      <c r="P377" s="4"/>
      <c r="Q377" s="4"/>
    </row>
    <row r="378">
      <c r="A378" s="2">
        <f t="shared" si="78"/>
        <v>14</v>
      </c>
      <c r="B378" s="3">
        <f t="shared" si="140"/>
        <v>46121</v>
      </c>
      <c r="C378" s="2" t="s">
        <v>57</v>
      </c>
      <c r="D378" s="2" t="s">
        <v>18</v>
      </c>
      <c r="E378" s="4"/>
      <c r="F378" s="4" t="str">
        <f>VLOOKUP($E378,Instructors!$A$2:$C693,3,FALSE)</f>
        <v>#N/A</v>
      </c>
      <c r="G378" s="4" t="str">
        <f t="shared" si="14"/>
        <v/>
      </c>
      <c r="H378" s="4" t="str">
        <f t="shared" si="3"/>
        <v/>
      </c>
      <c r="J378" s="4" t="b">
        <f t="shared" si="124"/>
        <v>0</v>
      </c>
      <c r="K378" s="2" t="b">
        <f t="shared" si="121"/>
        <v>0</v>
      </c>
      <c r="M378" s="4" t="b">
        <f t="shared" si="122"/>
        <v>0</v>
      </c>
      <c r="N378" s="4"/>
      <c r="O378" s="4"/>
      <c r="P378" s="4"/>
      <c r="Q378" s="4"/>
    </row>
    <row r="379">
      <c r="A379" s="2">
        <f t="shared" si="78"/>
        <v>14</v>
      </c>
      <c r="B379" s="3">
        <f t="shared" si="140"/>
        <v>46121</v>
      </c>
      <c r="C379" s="2" t="s">
        <v>57</v>
      </c>
      <c r="D379" s="2" t="s">
        <v>24</v>
      </c>
      <c r="E379" s="4"/>
      <c r="F379" s="4" t="str">
        <f>VLOOKUP($E379,Instructors!$A$2:$C693,3,FALSE)</f>
        <v>#N/A</v>
      </c>
      <c r="G379" s="4" t="str">
        <f t="shared" si="14"/>
        <v/>
      </c>
      <c r="H379" s="4" t="str">
        <f t="shared" si="3"/>
        <v/>
      </c>
      <c r="J379" s="4" t="b">
        <f t="shared" si="124"/>
        <v>0</v>
      </c>
      <c r="K379" s="2" t="b">
        <f t="shared" si="121"/>
        <v>0</v>
      </c>
      <c r="M379" s="4" t="b">
        <f t="shared" si="122"/>
        <v>0</v>
      </c>
      <c r="N379" s="4"/>
      <c r="O379" s="4"/>
      <c r="P379" s="4"/>
      <c r="Q379" s="4"/>
    </row>
    <row r="380">
      <c r="A380" s="2">
        <f t="shared" si="78"/>
        <v>14</v>
      </c>
      <c r="B380" s="3">
        <f t="shared" si="140"/>
        <v>46121</v>
      </c>
      <c r="C380" s="2" t="s">
        <v>57</v>
      </c>
      <c r="D380" s="2" t="s">
        <v>29</v>
      </c>
      <c r="E380" s="4"/>
      <c r="F380" s="4" t="str">
        <f>VLOOKUP($E380,Instructors!$A$2:$C693,3,FALSE)</f>
        <v>#N/A</v>
      </c>
      <c r="G380" s="4" t="str">
        <f t="shared" si="14"/>
        <v/>
      </c>
      <c r="H380" s="4" t="str">
        <f t="shared" si="3"/>
        <v/>
      </c>
      <c r="J380" s="4" t="b">
        <f t="shared" si="124"/>
        <v>0</v>
      </c>
      <c r="K380" s="2" t="b">
        <f t="shared" si="121"/>
        <v>0</v>
      </c>
      <c r="M380" s="4" t="b">
        <f t="shared" si="122"/>
        <v>0</v>
      </c>
      <c r="N380" s="4"/>
      <c r="O380" s="4"/>
      <c r="P380" s="4"/>
      <c r="Q380" s="4"/>
    </row>
    <row r="381">
      <c r="A381" s="2">
        <f t="shared" si="78"/>
        <v>14</v>
      </c>
      <c r="B381" s="3">
        <f t="shared" si="140"/>
        <v>46121</v>
      </c>
      <c r="C381" s="2" t="s">
        <v>57</v>
      </c>
      <c r="D381" s="2" t="s">
        <v>31</v>
      </c>
      <c r="E381" s="4"/>
      <c r="F381" s="4" t="str">
        <f>VLOOKUP($E381,Instructors!$A$2:$C693,3,FALSE)</f>
        <v>#N/A</v>
      </c>
      <c r="G381" s="4" t="str">
        <f t="shared" si="14"/>
        <v/>
      </c>
      <c r="H381" s="4" t="str">
        <f t="shared" si="3"/>
        <v/>
      </c>
      <c r="J381" s="4" t="b">
        <f t="shared" si="124"/>
        <v>0</v>
      </c>
      <c r="K381" s="2" t="b">
        <f t="shared" si="121"/>
        <v>0</v>
      </c>
      <c r="M381" s="4" t="b">
        <f t="shared" si="122"/>
        <v>0</v>
      </c>
      <c r="N381" s="4"/>
      <c r="O381" s="4"/>
      <c r="P381" s="4"/>
      <c r="Q381" s="4"/>
    </row>
    <row r="382">
      <c r="A382" s="2">
        <f t="shared" si="78"/>
        <v>14</v>
      </c>
      <c r="B382" s="3">
        <f t="shared" ref="B382:B385" si="141">B378+1</f>
        <v>46122</v>
      </c>
      <c r="C382" s="2" t="s">
        <v>73</v>
      </c>
      <c r="D382" s="2" t="s">
        <v>18</v>
      </c>
      <c r="E382" s="4"/>
      <c r="F382" s="4" t="str">
        <f>VLOOKUP($E382,Instructors!$A$2:$C693,3,FALSE)</f>
        <v>#N/A</v>
      </c>
      <c r="G382" s="4" t="str">
        <f t="shared" si="14"/>
        <v/>
      </c>
      <c r="H382" s="4" t="str">
        <f t="shared" si="3"/>
        <v/>
      </c>
      <c r="J382" s="4" t="b">
        <f t="shared" si="124"/>
        <v>0</v>
      </c>
      <c r="K382" s="2" t="b">
        <f t="shared" si="121"/>
        <v>0</v>
      </c>
      <c r="M382" s="4" t="b">
        <f t="shared" si="122"/>
        <v>0</v>
      </c>
      <c r="N382" s="4"/>
      <c r="O382" s="4"/>
      <c r="P382" s="4"/>
      <c r="Q382" s="4"/>
    </row>
    <row r="383">
      <c r="A383" s="2">
        <f t="shared" si="78"/>
        <v>14</v>
      </c>
      <c r="B383" s="3">
        <f t="shared" si="141"/>
        <v>46122</v>
      </c>
      <c r="C383" s="2" t="s">
        <v>73</v>
      </c>
      <c r="D383" s="2" t="s">
        <v>24</v>
      </c>
      <c r="E383" s="4"/>
      <c r="F383" s="4" t="str">
        <f>VLOOKUP($E383,Instructors!$A$2:$C693,3,FALSE)</f>
        <v>#N/A</v>
      </c>
      <c r="G383" s="4" t="str">
        <f t="shared" si="14"/>
        <v/>
      </c>
      <c r="H383" s="4" t="str">
        <f t="shared" si="3"/>
        <v/>
      </c>
      <c r="J383" s="4" t="b">
        <f t="shared" si="124"/>
        <v>0</v>
      </c>
      <c r="K383" s="2" t="b">
        <f t="shared" si="121"/>
        <v>0</v>
      </c>
      <c r="M383" s="4" t="b">
        <f t="shared" si="122"/>
        <v>0</v>
      </c>
      <c r="N383" s="4"/>
      <c r="O383" s="4"/>
      <c r="P383" s="4"/>
      <c r="Q383" s="4"/>
    </row>
    <row r="384">
      <c r="A384" s="2">
        <f t="shared" si="78"/>
        <v>14</v>
      </c>
      <c r="B384" s="3">
        <f t="shared" si="141"/>
        <v>46122</v>
      </c>
      <c r="C384" s="2" t="s">
        <v>73</v>
      </c>
      <c r="D384" s="2" t="s">
        <v>29</v>
      </c>
      <c r="E384" s="4"/>
      <c r="F384" s="4" t="str">
        <f>VLOOKUP($E384,Instructors!$A$2:$C693,3,FALSE)</f>
        <v>#N/A</v>
      </c>
      <c r="G384" s="4" t="str">
        <f t="shared" si="14"/>
        <v/>
      </c>
      <c r="H384" s="4" t="str">
        <f t="shared" si="3"/>
        <v/>
      </c>
      <c r="J384" s="4" t="b">
        <f t="shared" si="124"/>
        <v>0</v>
      </c>
      <c r="K384" s="2" t="b">
        <f t="shared" si="121"/>
        <v>0</v>
      </c>
      <c r="M384" s="4" t="b">
        <f t="shared" si="122"/>
        <v>0</v>
      </c>
      <c r="N384" s="4"/>
      <c r="O384" s="4"/>
      <c r="P384" s="4"/>
      <c r="Q384" s="4"/>
    </row>
    <row r="385">
      <c r="A385" s="2">
        <f t="shared" si="78"/>
        <v>14</v>
      </c>
      <c r="B385" s="3">
        <f t="shared" si="141"/>
        <v>46122</v>
      </c>
      <c r="C385" s="2" t="s">
        <v>73</v>
      </c>
      <c r="D385" s="2" t="s">
        <v>31</v>
      </c>
      <c r="E385" s="4"/>
      <c r="F385" s="4" t="str">
        <f>VLOOKUP($E385,Instructors!$A$2:$C693,3,FALSE)</f>
        <v>#N/A</v>
      </c>
      <c r="G385" s="4" t="str">
        <f t="shared" si="14"/>
        <v/>
      </c>
      <c r="H385" s="4" t="str">
        <f t="shared" si="3"/>
        <v/>
      </c>
      <c r="J385" s="4" t="b">
        <f t="shared" si="124"/>
        <v>0</v>
      </c>
      <c r="K385" s="2" t="b">
        <f t="shared" si="121"/>
        <v>0</v>
      </c>
      <c r="M385" s="4" t="b">
        <f t="shared" si="122"/>
        <v>0</v>
      </c>
      <c r="N385" s="4"/>
      <c r="O385" s="4"/>
      <c r="P385" s="4"/>
      <c r="Q385" s="4"/>
    </row>
    <row r="386">
      <c r="A386" s="2">
        <f t="shared" si="78"/>
        <v>14</v>
      </c>
      <c r="B386" s="3">
        <f t="shared" ref="B386:B389" si="142">B378+2</f>
        <v>46123</v>
      </c>
      <c r="C386" s="2" t="s">
        <v>86</v>
      </c>
      <c r="D386" s="2" t="s">
        <v>18</v>
      </c>
      <c r="E386" s="4"/>
      <c r="F386" s="4" t="str">
        <f>VLOOKUP($E386,Instructors!$A$2:$C693,3,FALSE)</f>
        <v>#N/A</v>
      </c>
      <c r="G386" s="4" t="str">
        <f t="shared" si="14"/>
        <v/>
      </c>
      <c r="H386" s="4" t="str">
        <f t="shared" si="3"/>
        <v/>
      </c>
      <c r="J386" s="4" t="b">
        <f t="shared" si="124"/>
        <v>0</v>
      </c>
      <c r="K386" s="2" t="b">
        <f t="shared" si="121"/>
        <v>0</v>
      </c>
      <c r="M386" s="4" t="b">
        <f t="shared" si="122"/>
        <v>0</v>
      </c>
      <c r="N386" s="4"/>
      <c r="O386" s="4"/>
      <c r="P386" s="4"/>
      <c r="Q386" s="4"/>
    </row>
    <row r="387">
      <c r="A387" s="2">
        <f t="shared" si="78"/>
        <v>14</v>
      </c>
      <c r="B387" s="3">
        <f t="shared" si="142"/>
        <v>46123</v>
      </c>
      <c r="C387" s="2" t="s">
        <v>86</v>
      </c>
      <c r="D387" s="2" t="s">
        <v>24</v>
      </c>
      <c r="E387" s="4"/>
      <c r="F387" s="4" t="str">
        <f>VLOOKUP($E387,Instructors!$A$2:$C693,3,FALSE)</f>
        <v>#N/A</v>
      </c>
      <c r="G387" s="4" t="str">
        <f t="shared" si="14"/>
        <v/>
      </c>
      <c r="H387" s="4" t="str">
        <f t="shared" si="3"/>
        <v/>
      </c>
      <c r="J387" s="4" t="b">
        <f t="shared" si="124"/>
        <v>0</v>
      </c>
      <c r="K387" s="2" t="b">
        <f t="shared" si="121"/>
        <v>0</v>
      </c>
      <c r="M387" s="4" t="b">
        <f t="shared" si="122"/>
        <v>0</v>
      </c>
      <c r="N387" s="4"/>
      <c r="O387" s="4"/>
      <c r="P387" s="4"/>
      <c r="Q387" s="4"/>
    </row>
    <row r="388">
      <c r="A388" s="2">
        <f t="shared" si="78"/>
        <v>14</v>
      </c>
      <c r="B388" s="3">
        <f t="shared" si="142"/>
        <v>46123</v>
      </c>
      <c r="C388" s="2" t="s">
        <v>86</v>
      </c>
      <c r="D388" s="2" t="s">
        <v>29</v>
      </c>
      <c r="E388" s="4"/>
      <c r="F388" s="4" t="str">
        <f>VLOOKUP($E388,Instructors!$A$2:$C693,3,FALSE)</f>
        <v>#N/A</v>
      </c>
      <c r="G388" s="4" t="str">
        <f t="shared" si="14"/>
        <v/>
      </c>
      <c r="H388" s="4" t="str">
        <f t="shared" si="3"/>
        <v/>
      </c>
      <c r="J388" s="4" t="b">
        <f t="shared" si="124"/>
        <v>0</v>
      </c>
      <c r="K388" s="2" t="b">
        <f t="shared" si="121"/>
        <v>0</v>
      </c>
      <c r="M388" s="4" t="b">
        <f t="shared" si="122"/>
        <v>0</v>
      </c>
      <c r="N388" s="4"/>
      <c r="O388" s="4"/>
      <c r="P388" s="4"/>
      <c r="Q388" s="4"/>
    </row>
    <row r="389">
      <c r="A389" s="2">
        <f t="shared" si="78"/>
        <v>14</v>
      </c>
      <c r="B389" s="3">
        <f t="shared" si="142"/>
        <v>46123</v>
      </c>
      <c r="C389" s="2" t="s">
        <v>86</v>
      </c>
      <c r="D389" s="2" t="s">
        <v>31</v>
      </c>
      <c r="E389" s="4"/>
      <c r="F389" s="4" t="str">
        <f>VLOOKUP($E389,Instructors!$A$2:$C693,3,FALSE)</f>
        <v>#N/A</v>
      </c>
      <c r="G389" s="4" t="str">
        <f t="shared" si="14"/>
        <v/>
      </c>
      <c r="H389" s="4" t="str">
        <f t="shared" si="3"/>
        <v/>
      </c>
      <c r="J389" s="4" t="b">
        <f t="shared" si="124"/>
        <v>0</v>
      </c>
      <c r="K389" s="2" t="b">
        <f t="shared" si="121"/>
        <v>0</v>
      </c>
      <c r="M389" s="4" t="b">
        <f t="shared" si="122"/>
        <v>0</v>
      </c>
      <c r="N389" s="4"/>
      <c r="O389" s="4"/>
      <c r="P389" s="4"/>
      <c r="Q389" s="4"/>
    </row>
    <row r="390">
      <c r="A390" s="2">
        <f t="shared" si="78"/>
        <v>14</v>
      </c>
      <c r="B390" s="3">
        <f t="shared" ref="B390:B393" si="143">B386+1</f>
        <v>46124</v>
      </c>
      <c r="C390" s="2" t="s">
        <v>93</v>
      </c>
      <c r="D390" s="2" t="s">
        <v>18</v>
      </c>
      <c r="E390" s="4"/>
      <c r="F390" s="4" t="str">
        <f>VLOOKUP($E390,Instructors!$A$2:$C693,3,FALSE)</f>
        <v>#N/A</v>
      </c>
      <c r="G390" s="4" t="str">
        <f t="shared" si="14"/>
        <v/>
      </c>
      <c r="H390" s="4" t="str">
        <f t="shared" si="3"/>
        <v/>
      </c>
      <c r="J390" s="4" t="b">
        <f t="shared" si="124"/>
        <v>0</v>
      </c>
      <c r="K390" s="2" t="b">
        <f t="shared" si="121"/>
        <v>0</v>
      </c>
      <c r="M390" s="4" t="b">
        <f t="shared" si="122"/>
        <v>0</v>
      </c>
      <c r="N390" s="4"/>
      <c r="O390" s="4"/>
      <c r="P390" s="4"/>
      <c r="Q390" s="4"/>
    </row>
    <row r="391">
      <c r="A391" s="2">
        <f t="shared" si="78"/>
        <v>14</v>
      </c>
      <c r="B391" s="3">
        <f t="shared" si="143"/>
        <v>46124</v>
      </c>
      <c r="C391" s="2" t="s">
        <v>93</v>
      </c>
      <c r="D391" s="2" t="s">
        <v>24</v>
      </c>
      <c r="E391" s="4"/>
      <c r="F391" s="4" t="str">
        <f>VLOOKUP($E391,Instructors!$A$2:$C693,3,FALSE)</f>
        <v>#N/A</v>
      </c>
      <c r="G391" s="4" t="str">
        <f t="shared" si="14"/>
        <v/>
      </c>
      <c r="H391" s="4" t="str">
        <f t="shared" si="3"/>
        <v/>
      </c>
      <c r="J391" s="4" t="b">
        <f t="shared" si="124"/>
        <v>0</v>
      </c>
      <c r="K391" s="2" t="b">
        <f t="shared" si="121"/>
        <v>0</v>
      </c>
      <c r="M391" s="4" t="b">
        <f t="shared" si="122"/>
        <v>0</v>
      </c>
      <c r="N391" s="4"/>
      <c r="O391" s="4"/>
      <c r="P391" s="4"/>
      <c r="Q391" s="4"/>
    </row>
    <row r="392">
      <c r="A392" s="2">
        <f t="shared" si="78"/>
        <v>14</v>
      </c>
      <c r="B392" s="3">
        <f t="shared" si="143"/>
        <v>46124</v>
      </c>
      <c r="C392" s="2" t="s">
        <v>93</v>
      </c>
      <c r="D392" s="2" t="s">
        <v>29</v>
      </c>
      <c r="E392" s="4"/>
      <c r="F392" s="4" t="str">
        <f>VLOOKUP($E392,Instructors!$A$2:$C693,3,FALSE)</f>
        <v>#N/A</v>
      </c>
      <c r="G392" s="4" t="str">
        <f t="shared" si="14"/>
        <v/>
      </c>
      <c r="H392" s="4" t="str">
        <f t="shared" si="3"/>
        <v/>
      </c>
      <c r="J392" s="4" t="b">
        <f t="shared" si="124"/>
        <v>0</v>
      </c>
      <c r="K392" s="2" t="b">
        <f t="shared" si="121"/>
        <v>0</v>
      </c>
      <c r="M392" s="4" t="b">
        <f t="shared" si="122"/>
        <v>0</v>
      </c>
      <c r="N392" s="4"/>
      <c r="O392" s="4"/>
      <c r="P392" s="4"/>
      <c r="Q392" s="4"/>
    </row>
    <row r="393">
      <c r="A393" s="2">
        <f t="shared" si="78"/>
        <v>14</v>
      </c>
      <c r="B393" s="3">
        <f t="shared" si="143"/>
        <v>46124</v>
      </c>
      <c r="C393" s="2" t="s">
        <v>93</v>
      </c>
      <c r="D393" s="2" t="s">
        <v>31</v>
      </c>
      <c r="E393" s="4"/>
      <c r="F393" s="4" t="str">
        <f>VLOOKUP($E393,Instructors!$A$2:$C693,3,FALSE)</f>
        <v>#N/A</v>
      </c>
      <c r="G393" s="4" t="str">
        <f t="shared" si="14"/>
        <v/>
      </c>
      <c r="H393" s="4" t="str">
        <f t="shared" si="3"/>
        <v/>
      </c>
      <c r="J393" s="4" t="b">
        <f t="shared" si="124"/>
        <v>0</v>
      </c>
      <c r="K393" s="2" t="b">
        <f t="shared" si="121"/>
        <v>0</v>
      </c>
      <c r="M393" s="4" t="b">
        <f t="shared" si="122"/>
        <v>0</v>
      </c>
      <c r="N393" s="4"/>
      <c r="O393" s="4"/>
      <c r="P393" s="4"/>
      <c r="Q393" s="4"/>
    </row>
    <row r="394">
      <c r="A394" s="2">
        <f t="shared" si="78"/>
        <v>15</v>
      </c>
      <c r="B394" s="3">
        <f t="shared" ref="B394:B397" si="144">B386+2</f>
        <v>46125</v>
      </c>
      <c r="C394" s="2" t="s">
        <v>17</v>
      </c>
      <c r="D394" s="2" t="s">
        <v>18</v>
      </c>
      <c r="E394" s="4"/>
      <c r="F394" s="4" t="str">
        <f>VLOOKUP($E394,Instructors!$A$2:$C693,3,FALSE)</f>
        <v>#N/A</v>
      </c>
      <c r="G394" s="4" t="str">
        <f t="shared" si="14"/>
        <v/>
      </c>
      <c r="H394" s="4" t="str">
        <f t="shared" si="3"/>
        <v/>
      </c>
      <c r="J394" s="4" t="b">
        <f t="shared" si="124"/>
        <v>0</v>
      </c>
      <c r="K394" s="2" t="b">
        <f t="shared" si="121"/>
        <v>0</v>
      </c>
      <c r="M394" s="4" t="b">
        <f t="shared" si="122"/>
        <v>0</v>
      </c>
      <c r="N394" s="4"/>
      <c r="O394" s="4"/>
      <c r="P394" s="4"/>
      <c r="Q394" s="4"/>
    </row>
    <row r="395">
      <c r="A395" s="2">
        <f t="shared" si="78"/>
        <v>15</v>
      </c>
      <c r="B395" s="3">
        <f t="shared" si="144"/>
        <v>46125</v>
      </c>
      <c r="C395" s="2" t="s">
        <v>17</v>
      </c>
      <c r="D395" s="2" t="s">
        <v>24</v>
      </c>
      <c r="E395" s="4"/>
      <c r="F395" s="4" t="str">
        <f>VLOOKUP($E395,Instructors!$A$2:$C693,3,FALSE)</f>
        <v>#N/A</v>
      </c>
      <c r="G395" s="4" t="str">
        <f t="shared" si="14"/>
        <v/>
      </c>
      <c r="H395" s="4" t="str">
        <f t="shared" si="3"/>
        <v/>
      </c>
      <c r="J395" s="4" t="b">
        <f t="shared" si="124"/>
        <v>0</v>
      </c>
      <c r="K395" s="2" t="b">
        <f t="shared" si="121"/>
        <v>0</v>
      </c>
      <c r="M395" s="4" t="b">
        <f t="shared" si="122"/>
        <v>0</v>
      </c>
      <c r="N395" s="4"/>
      <c r="O395" s="4"/>
      <c r="P395" s="4"/>
      <c r="Q395" s="4"/>
    </row>
    <row r="396">
      <c r="A396" s="2">
        <f t="shared" si="78"/>
        <v>15</v>
      </c>
      <c r="B396" s="3">
        <f t="shared" si="144"/>
        <v>46125</v>
      </c>
      <c r="C396" s="2" t="s">
        <v>17</v>
      </c>
      <c r="D396" s="2" t="s">
        <v>29</v>
      </c>
      <c r="E396" s="4"/>
      <c r="F396" s="4" t="str">
        <f>VLOOKUP($E396,Instructors!$A$2:$C693,3,FALSE)</f>
        <v>#N/A</v>
      </c>
      <c r="G396" s="4" t="str">
        <f t="shared" si="14"/>
        <v/>
      </c>
      <c r="H396" s="4" t="str">
        <f t="shared" si="3"/>
        <v/>
      </c>
      <c r="J396" s="4" t="b">
        <f t="shared" si="124"/>
        <v>0</v>
      </c>
      <c r="K396" s="2" t="b">
        <f t="shared" si="121"/>
        <v>0</v>
      </c>
      <c r="M396" s="4" t="b">
        <f t="shared" si="122"/>
        <v>0</v>
      </c>
      <c r="N396" s="4"/>
      <c r="O396" s="4"/>
      <c r="P396" s="4"/>
      <c r="Q396" s="4"/>
    </row>
    <row r="397">
      <c r="A397" s="2">
        <f t="shared" si="78"/>
        <v>15</v>
      </c>
      <c r="B397" s="3">
        <f t="shared" si="144"/>
        <v>46125</v>
      </c>
      <c r="C397" s="2" t="s">
        <v>17</v>
      </c>
      <c r="D397" s="2" t="s">
        <v>31</v>
      </c>
      <c r="E397" s="4"/>
      <c r="F397" s="4" t="str">
        <f>VLOOKUP($E397,Instructors!$A$2:$C693,3,FALSE)</f>
        <v>#N/A</v>
      </c>
      <c r="G397" s="4" t="str">
        <f t="shared" si="14"/>
        <v/>
      </c>
      <c r="H397" s="4" t="str">
        <f t="shared" si="3"/>
        <v/>
      </c>
      <c r="J397" s="4" t="b">
        <f t="shared" si="124"/>
        <v>0</v>
      </c>
      <c r="K397" s="2" t="b">
        <f t="shared" si="121"/>
        <v>0</v>
      </c>
      <c r="M397" s="4" t="b">
        <f t="shared" si="122"/>
        <v>0</v>
      </c>
      <c r="N397" s="4"/>
      <c r="O397" s="4"/>
      <c r="P397" s="4"/>
      <c r="Q397" s="4"/>
    </row>
    <row r="398">
      <c r="A398" s="2">
        <f t="shared" si="78"/>
        <v>15</v>
      </c>
      <c r="B398" s="3">
        <f t="shared" ref="B398:B401" si="145">B394+1</f>
        <v>46126</v>
      </c>
      <c r="C398" s="2" t="s">
        <v>33</v>
      </c>
      <c r="D398" s="2" t="s">
        <v>18</v>
      </c>
      <c r="E398" s="4"/>
      <c r="F398" s="4" t="str">
        <f>VLOOKUP($E398,Instructors!$A$2:$C693,3,FALSE)</f>
        <v>#N/A</v>
      </c>
      <c r="G398" s="4" t="str">
        <f t="shared" si="14"/>
        <v/>
      </c>
      <c r="H398" s="4" t="str">
        <f t="shared" si="3"/>
        <v/>
      </c>
      <c r="J398" s="4" t="b">
        <f t="shared" si="124"/>
        <v>0</v>
      </c>
      <c r="K398" s="2" t="b">
        <f t="shared" si="121"/>
        <v>0</v>
      </c>
      <c r="M398" s="4" t="b">
        <f t="shared" si="122"/>
        <v>0</v>
      </c>
      <c r="N398" s="4"/>
      <c r="O398" s="4"/>
      <c r="P398" s="4"/>
      <c r="Q398" s="4"/>
    </row>
    <row r="399">
      <c r="A399" s="2">
        <f t="shared" si="78"/>
        <v>15</v>
      </c>
      <c r="B399" s="3">
        <f t="shared" si="145"/>
        <v>46126</v>
      </c>
      <c r="C399" s="2" t="s">
        <v>33</v>
      </c>
      <c r="D399" s="2" t="s">
        <v>24</v>
      </c>
      <c r="E399" s="4"/>
      <c r="F399" s="4" t="str">
        <f>VLOOKUP($E399,Instructors!$A$2:$C693,3,FALSE)</f>
        <v>#N/A</v>
      </c>
      <c r="G399" s="4" t="str">
        <f t="shared" si="14"/>
        <v/>
      </c>
      <c r="H399" s="4" t="str">
        <f t="shared" si="3"/>
        <v/>
      </c>
      <c r="J399" s="4" t="b">
        <f t="shared" si="124"/>
        <v>0</v>
      </c>
      <c r="K399" s="2" t="b">
        <f t="shared" si="121"/>
        <v>0</v>
      </c>
      <c r="M399" s="4" t="b">
        <f t="shared" si="122"/>
        <v>0</v>
      </c>
      <c r="N399" s="4"/>
      <c r="O399" s="4"/>
      <c r="P399" s="4"/>
      <c r="Q399" s="4"/>
    </row>
    <row r="400">
      <c r="A400" s="2">
        <f t="shared" si="78"/>
        <v>15</v>
      </c>
      <c r="B400" s="3">
        <f t="shared" si="145"/>
        <v>46126</v>
      </c>
      <c r="C400" s="2" t="s">
        <v>33</v>
      </c>
      <c r="D400" s="2" t="s">
        <v>29</v>
      </c>
      <c r="E400" s="4"/>
      <c r="F400" s="4" t="str">
        <f>VLOOKUP($E400,Instructors!$A$2:$C693,3,FALSE)</f>
        <v>#N/A</v>
      </c>
      <c r="G400" s="4" t="str">
        <f t="shared" si="14"/>
        <v/>
      </c>
      <c r="H400" s="4" t="str">
        <f t="shared" si="3"/>
        <v/>
      </c>
      <c r="J400" s="4" t="b">
        <f t="shared" si="124"/>
        <v>0</v>
      </c>
      <c r="K400" s="2" t="b">
        <f t="shared" si="121"/>
        <v>0</v>
      </c>
      <c r="M400" s="4" t="b">
        <f t="shared" si="122"/>
        <v>0</v>
      </c>
      <c r="N400" s="4"/>
      <c r="O400" s="4"/>
      <c r="P400" s="4"/>
      <c r="Q400" s="4"/>
    </row>
    <row r="401">
      <c r="A401" s="2">
        <f t="shared" si="78"/>
        <v>15</v>
      </c>
      <c r="B401" s="3">
        <f t="shared" si="145"/>
        <v>46126</v>
      </c>
      <c r="C401" s="2" t="s">
        <v>33</v>
      </c>
      <c r="D401" s="2" t="s">
        <v>31</v>
      </c>
      <c r="E401" s="4"/>
      <c r="F401" s="4" t="str">
        <f>VLOOKUP($E401,Instructors!$A$2:$C693,3,FALSE)</f>
        <v>#N/A</v>
      </c>
      <c r="G401" s="4" t="str">
        <f t="shared" si="14"/>
        <v/>
      </c>
      <c r="H401" s="4" t="str">
        <f t="shared" si="3"/>
        <v/>
      </c>
      <c r="J401" s="4" t="b">
        <f t="shared" si="124"/>
        <v>0</v>
      </c>
      <c r="K401" s="2" t="b">
        <f t="shared" si="121"/>
        <v>0</v>
      </c>
      <c r="M401" s="4" t="b">
        <f t="shared" si="122"/>
        <v>0</v>
      </c>
      <c r="N401" s="4"/>
      <c r="O401" s="4"/>
      <c r="P401" s="4"/>
      <c r="Q401" s="4"/>
    </row>
    <row r="402">
      <c r="A402" s="2">
        <f t="shared" si="78"/>
        <v>15</v>
      </c>
      <c r="B402" s="3">
        <f t="shared" ref="B402:B409" si="146">B394+2</f>
        <v>46127</v>
      </c>
      <c r="C402" s="2" t="s">
        <v>45</v>
      </c>
      <c r="D402" s="2" t="s">
        <v>18</v>
      </c>
      <c r="E402" s="4"/>
      <c r="F402" s="4" t="str">
        <f>VLOOKUP($E402,Instructors!$A$2:$C693,3,FALSE)</f>
        <v>#N/A</v>
      </c>
      <c r="G402" s="4" t="str">
        <f t="shared" si="14"/>
        <v/>
      </c>
      <c r="H402" s="4" t="str">
        <f t="shared" si="3"/>
        <v/>
      </c>
      <c r="J402" s="4" t="b">
        <f t="shared" si="124"/>
        <v>0</v>
      </c>
      <c r="K402" s="2" t="b">
        <f t="shared" si="121"/>
        <v>0</v>
      </c>
      <c r="M402" s="4" t="b">
        <f t="shared" si="122"/>
        <v>0</v>
      </c>
      <c r="N402" s="4"/>
      <c r="O402" s="4"/>
      <c r="P402" s="4"/>
      <c r="Q402" s="4"/>
    </row>
    <row r="403">
      <c r="A403" s="2">
        <f t="shared" si="78"/>
        <v>15</v>
      </c>
      <c r="B403" s="3">
        <f t="shared" si="146"/>
        <v>46127</v>
      </c>
      <c r="C403" s="2" t="s">
        <v>45</v>
      </c>
      <c r="D403" s="2" t="s">
        <v>24</v>
      </c>
      <c r="E403" s="4"/>
      <c r="F403" s="4" t="str">
        <f>VLOOKUP($E403,Instructors!$A$2:$C693,3,FALSE)</f>
        <v>#N/A</v>
      </c>
      <c r="G403" s="4" t="str">
        <f t="shared" si="14"/>
        <v/>
      </c>
      <c r="H403" s="4" t="str">
        <f t="shared" si="3"/>
        <v/>
      </c>
      <c r="J403" s="4" t="b">
        <f t="shared" si="124"/>
        <v>0</v>
      </c>
      <c r="K403" s="2" t="b">
        <f t="shared" si="121"/>
        <v>0</v>
      </c>
      <c r="M403" s="4" t="b">
        <f t="shared" si="122"/>
        <v>0</v>
      </c>
      <c r="N403" s="4"/>
      <c r="O403" s="4"/>
      <c r="P403" s="4"/>
      <c r="Q403" s="4"/>
    </row>
    <row r="404">
      <c r="A404" s="2">
        <f t="shared" si="78"/>
        <v>15</v>
      </c>
      <c r="B404" s="3">
        <f t="shared" si="146"/>
        <v>46127</v>
      </c>
      <c r="C404" s="2" t="s">
        <v>45</v>
      </c>
      <c r="D404" s="2" t="s">
        <v>29</v>
      </c>
      <c r="E404" s="4"/>
      <c r="F404" s="4" t="str">
        <f>VLOOKUP($E404,Instructors!$A$2:$C693,3,FALSE)</f>
        <v>#N/A</v>
      </c>
      <c r="G404" s="4" t="str">
        <f t="shared" si="14"/>
        <v/>
      </c>
      <c r="H404" s="4" t="str">
        <f t="shared" si="3"/>
        <v/>
      </c>
      <c r="J404" s="4" t="b">
        <f t="shared" si="124"/>
        <v>0</v>
      </c>
      <c r="K404" s="2" t="b">
        <f t="shared" si="121"/>
        <v>0</v>
      </c>
      <c r="M404" s="4" t="b">
        <f t="shared" si="122"/>
        <v>0</v>
      </c>
      <c r="N404" s="4"/>
      <c r="O404" s="4"/>
      <c r="P404" s="4"/>
      <c r="Q404" s="4"/>
    </row>
    <row r="405">
      <c r="A405" s="2">
        <f t="shared" si="78"/>
        <v>15</v>
      </c>
      <c r="B405" s="3">
        <f t="shared" si="146"/>
        <v>46127</v>
      </c>
      <c r="C405" s="2" t="s">
        <v>45</v>
      </c>
      <c r="D405" s="2" t="s">
        <v>31</v>
      </c>
      <c r="E405" s="4"/>
      <c r="F405" s="4" t="str">
        <f>VLOOKUP($E405,Instructors!$A$2:$C693,3,FALSE)</f>
        <v>#N/A</v>
      </c>
      <c r="G405" s="4" t="str">
        <f t="shared" si="14"/>
        <v/>
      </c>
      <c r="H405" s="4" t="str">
        <f t="shared" si="3"/>
        <v/>
      </c>
      <c r="J405" s="4" t="b">
        <f t="shared" si="124"/>
        <v>0</v>
      </c>
      <c r="K405" s="2" t="b">
        <f t="shared" si="121"/>
        <v>0</v>
      </c>
      <c r="M405" s="4" t="b">
        <f t="shared" si="122"/>
        <v>0</v>
      </c>
      <c r="N405" s="4"/>
      <c r="O405" s="4"/>
      <c r="P405" s="4"/>
      <c r="Q405" s="4"/>
    </row>
    <row r="406">
      <c r="A406" s="2">
        <f t="shared" si="78"/>
        <v>15</v>
      </c>
      <c r="B406" s="3">
        <f t="shared" si="146"/>
        <v>46128</v>
      </c>
      <c r="C406" s="2" t="s">
        <v>57</v>
      </c>
      <c r="D406" s="2" t="s">
        <v>18</v>
      </c>
      <c r="E406" s="4"/>
      <c r="F406" s="4" t="str">
        <f>VLOOKUP($E406,Instructors!$A$2:$C693,3,FALSE)</f>
        <v>#N/A</v>
      </c>
      <c r="G406" s="4" t="str">
        <f t="shared" si="14"/>
        <v/>
      </c>
      <c r="H406" s="4" t="str">
        <f t="shared" si="3"/>
        <v/>
      </c>
      <c r="J406" s="4" t="b">
        <f t="shared" si="124"/>
        <v>0</v>
      </c>
      <c r="K406" s="2" t="b">
        <f t="shared" si="121"/>
        <v>0</v>
      </c>
      <c r="M406" s="4" t="b">
        <f t="shared" si="122"/>
        <v>0</v>
      </c>
      <c r="N406" s="4"/>
      <c r="O406" s="4"/>
      <c r="P406" s="4"/>
      <c r="Q406" s="4"/>
    </row>
    <row r="407">
      <c r="A407" s="2">
        <f t="shared" si="78"/>
        <v>15</v>
      </c>
      <c r="B407" s="3">
        <f t="shared" si="146"/>
        <v>46128</v>
      </c>
      <c r="C407" s="2" t="s">
        <v>57</v>
      </c>
      <c r="D407" s="2" t="s">
        <v>24</v>
      </c>
      <c r="E407" s="4"/>
      <c r="F407" s="4" t="str">
        <f>VLOOKUP($E407,Instructors!$A$2:$C693,3,FALSE)</f>
        <v>#N/A</v>
      </c>
      <c r="G407" s="4" t="str">
        <f t="shared" si="14"/>
        <v/>
      </c>
      <c r="H407" s="4" t="str">
        <f t="shared" si="3"/>
        <v/>
      </c>
      <c r="J407" s="4" t="b">
        <f t="shared" si="124"/>
        <v>0</v>
      </c>
      <c r="K407" s="2" t="b">
        <f t="shared" si="121"/>
        <v>0</v>
      </c>
      <c r="M407" s="4" t="b">
        <f t="shared" si="122"/>
        <v>0</v>
      </c>
      <c r="N407" s="4"/>
      <c r="O407" s="4"/>
      <c r="P407" s="4"/>
      <c r="Q407" s="4"/>
    </row>
    <row r="408">
      <c r="A408" s="2">
        <f t="shared" si="78"/>
        <v>15</v>
      </c>
      <c r="B408" s="3">
        <f t="shared" si="146"/>
        <v>46128</v>
      </c>
      <c r="C408" s="2" t="s">
        <v>57</v>
      </c>
      <c r="D408" s="2" t="s">
        <v>29</v>
      </c>
      <c r="E408" s="4"/>
      <c r="F408" s="4" t="str">
        <f>VLOOKUP($E408,Instructors!$A$2:$C693,3,FALSE)</f>
        <v>#N/A</v>
      </c>
      <c r="G408" s="4" t="str">
        <f t="shared" si="14"/>
        <v/>
      </c>
      <c r="H408" s="4" t="str">
        <f t="shared" si="3"/>
        <v/>
      </c>
      <c r="J408" s="4" t="b">
        <f t="shared" si="124"/>
        <v>0</v>
      </c>
      <c r="K408" s="2" t="b">
        <f t="shared" si="121"/>
        <v>0</v>
      </c>
      <c r="M408" s="4" t="b">
        <f t="shared" si="122"/>
        <v>0</v>
      </c>
      <c r="N408" s="4"/>
      <c r="O408" s="4"/>
      <c r="P408" s="4"/>
      <c r="Q408" s="4"/>
    </row>
    <row r="409">
      <c r="A409" s="2">
        <f t="shared" si="78"/>
        <v>15</v>
      </c>
      <c r="B409" s="3">
        <f t="shared" si="146"/>
        <v>46128</v>
      </c>
      <c r="C409" s="2" t="s">
        <v>57</v>
      </c>
      <c r="D409" s="2" t="s">
        <v>31</v>
      </c>
      <c r="E409" s="4"/>
      <c r="F409" s="4" t="str">
        <f>VLOOKUP($E409,Instructors!$A$2:$C693,3,FALSE)</f>
        <v>#N/A</v>
      </c>
      <c r="G409" s="4" t="str">
        <f t="shared" si="14"/>
        <v/>
      </c>
      <c r="H409" s="4" t="str">
        <f t="shared" si="3"/>
        <v/>
      </c>
      <c r="J409" s="4" t="b">
        <f t="shared" si="124"/>
        <v>0</v>
      </c>
      <c r="K409" s="2" t="b">
        <f t="shared" si="121"/>
        <v>0</v>
      </c>
      <c r="M409" s="4" t="b">
        <f t="shared" si="122"/>
        <v>0</v>
      </c>
      <c r="N409" s="4"/>
      <c r="O409" s="4"/>
      <c r="P409" s="4"/>
      <c r="Q409" s="4"/>
    </row>
    <row r="410">
      <c r="A410" s="2">
        <f t="shared" si="78"/>
        <v>15</v>
      </c>
      <c r="B410" s="3">
        <f t="shared" ref="B410:B413" si="147">B406+1</f>
        <v>46129</v>
      </c>
      <c r="C410" s="2" t="s">
        <v>73</v>
      </c>
      <c r="D410" s="2" t="s">
        <v>18</v>
      </c>
      <c r="E410" s="4"/>
      <c r="F410" s="4" t="str">
        <f>VLOOKUP($E410,Instructors!$A$2:$C693,3,FALSE)</f>
        <v>#N/A</v>
      </c>
      <c r="G410" s="4" t="str">
        <f t="shared" si="14"/>
        <v/>
      </c>
      <c r="H410" s="4" t="str">
        <f t="shared" si="3"/>
        <v/>
      </c>
      <c r="J410" s="4" t="b">
        <f t="shared" si="124"/>
        <v>0</v>
      </c>
      <c r="K410" s="2" t="b">
        <f t="shared" si="121"/>
        <v>0</v>
      </c>
      <c r="M410" s="4" t="b">
        <f t="shared" si="122"/>
        <v>0</v>
      </c>
      <c r="N410" s="4"/>
      <c r="O410" s="4"/>
      <c r="P410" s="4"/>
      <c r="Q410" s="4"/>
    </row>
    <row r="411">
      <c r="A411" s="2">
        <f t="shared" si="78"/>
        <v>15</v>
      </c>
      <c r="B411" s="3">
        <f t="shared" si="147"/>
        <v>46129</v>
      </c>
      <c r="C411" s="2" t="s">
        <v>73</v>
      </c>
      <c r="D411" s="2" t="s">
        <v>24</v>
      </c>
      <c r="E411" s="4"/>
      <c r="F411" s="4" t="str">
        <f>VLOOKUP($E411,Instructors!$A$2:$C693,3,FALSE)</f>
        <v>#N/A</v>
      </c>
      <c r="G411" s="4" t="str">
        <f t="shared" si="14"/>
        <v/>
      </c>
      <c r="H411" s="4" t="str">
        <f t="shared" si="3"/>
        <v/>
      </c>
      <c r="J411" s="4" t="b">
        <f t="shared" si="124"/>
        <v>0</v>
      </c>
      <c r="K411" s="2" t="b">
        <f t="shared" si="121"/>
        <v>0</v>
      </c>
      <c r="M411" s="4" t="b">
        <f t="shared" si="122"/>
        <v>0</v>
      </c>
      <c r="N411" s="4"/>
      <c r="O411" s="4"/>
      <c r="P411" s="4"/>
      <c r="Q411" s="4"/>
    </row>
    <row r="412">
      <c r="A412" s="2">
        <f t="shared" si="78"/>
        <v>15</v>
      </c>
      <c r="B412" s="3">
        <f t="shared" si="147"/>
        <v>46129</v>
      </c>
      <c r="C412" s="2" t="s">
        <v>73</v>
      </c>
      <c r="D412" s="2" t="s">
        <v>29</v>
      </c>
      <c r="E412" s="4"/>
      <c r="F412" s="4" t="str">
        <f>VLOOKUP($E412,Instructors!$A$2:$C693,3,FALSE)</f>
        <v>#N/A</v>
      </c>
      <c r="G412" s="4" t="str">
        <f t="shared" si="14"/>
        <v/>
      </c>
      <c r="H412" s="4" t="str">
        <f t="shared" si="3"/>
        <v/>
      </c>
      <c r="J412" s="4" t="b">
        <f t="shared" si="124"/>
        <v>0</v>
      </c>
      <c r="K412" s="2" t="b">
        <f t="shared" si="121"/>
        <v>0</v>
      </c>
      <c r="M412" s="4" t="b">
        <f t="shared" si="122"/>
        <v>0</v>
      </c>
      <c r="N412" s="4"/>
      <c r="O412" s="4"/>
      <c r="P412" s="4"/>
      <c r="Q412" s="4"/>
    </row>
    <row r="413">
      <c r="A413" s="2">
        <f t="shared" si="78"/>
        <v>15</v>
      </c>
      <c r="B413" s="3">
        <f t="shared" si="147"/>
        <v>46129</v>
      </c>
      <c r="C413" s="2" t="s">
        <v>73</v>
      </c>
      <c r="D413" s="2" t="s">
        <v>31</v>
      </c>
      <c r="E413" s="4"/>
      <c r="F413" s="4" t="str">
        <f>VLOOKUP($E413,Instructors!$A$2:$C693,3,FALSE)</f>
        <v>#N/A</v>
      </c>
      <c r="G413" s="4" t="str">
        <f t="shared" si="14"/>
        <v/>
      </c>
      <c r="H413" s="4" t="str">
        <f t="shared" si="3"/>
        <v/>
      </c>
      <c r="J413" s="4" t="b">
        <f t="shared" si="124"/>
        <v>0</v>
      </c>
      <c r="K413" s="2" t="b">
        <f t="shared" si="121"/>
        <v>0</v>
      </c>
      <c r="M413" s="4" t="b">
        <f t="shared" si="122"/>
        <v>0</v>
      </c>
      <c r="N413" s="4"/>
      <c r="O413" s="4"/>
      <c r="P413" s="4"/>
      <c r="Q413" s="4"/>
    </row>
    <row r="414">
      <c r="A414" s="2">
        <f t="shared" si="78"/>
        <v>15</v>
      </c>
      <c r="B414" s="3">
        <f t="shared" ref="B414:B417" si="148">B406+2</f>
        <v>46130</v>
      </c>
      <c r="C414" s="2" t="s">
        <v>86</v>
      </c>
      <c r="D414" s="2" t="s">
        <v>18</v>
      </c>
      <c r="E414" s="4"/>
      <c r="F414" s="4" t="str">
        <f>VLOOKUP($E414,Instructors!$A$2:$C693,3,FALSE)</f>
        <v>#N/A</v>
      </c>
      <c r="G414" s="4" t="str">
        <f t="shared" si="14"/>
        <v/>
      </c>
      <c r="H414" s="4" t="str">
        <f t="shared" si="3"/>
        <v/>
      </c>
      <c r="J414" s="4" t="b">
        <f t="shared" si="124"/>
        <v>0</v>
      </c>
      <c r="K414" s="2" t="b">
        <f t="shared" si="121"/>
        <v>0</v>
      </c>
      <c r="M414" s="4" t="b">
        <f t="shared" si="122"/>
        <v>0</v>
      </c>
      <c r="N414" s="4"/>
      <c r="O414" s="4"/>
      <c r="P414" s="4"/>
      <c r="Q414" s="4"/>
    </row>
    <row r="415">
      <c r="A415" s="2">
        <f t="shared" si="78"/>
        <v>15</v>
      </c>
      <c r="B415" s="3">
        <f t="shared" si="148"/>
        <v>46130</v>
      </c>
      <c r="C415" s="2" t="s">
        <v>86</v>
      </c>
      <c r="D415" s="2" t="s">
        <v>24</v>
      </c>
      <c r="E415" s="4"/>
      <c r="F415" s="4" t="str">
        <f>VLOOKUP($E415,Instructors!$A$2:$C693,3,FALSE)</f>
        <v>#N/A</v>
      </c>
      <c r="G415" s="4" t="str">
        <f t="shared" si="14"/>
        <v/>
      </c>
      <c r="H415" s="4" t="str">
        <f t="shared" si="3"/>
        <v/>
      </c>
      <c r="J415" s="4" t="b">
        <f t="shared" si="124"/>
        <v>0</v>
      </c>
      <c r="K415" s="2" t="b">
        <f t="shared" si="121"/>
        <v>0</v>
      </c>
      <c r="M415" s="4" t="b">
        <f t="shared" si="122"/>
        <v>0</v>
      </c>
      <c r="N415" s="4"/>
      <c r="O415" s="4"/>
      <c r="P415" s="4"/>
      <c r="Q415" s="4"/>
    </row>
    <row r="416">
      <c r="A416" s="2">
        <f t="shared" si="78"/>
        <v>15</v>
      </c>
      <c r="B416" s="3">
        <f t="shared" si="148"/>
        <v>46130</v>
      </c>
      <c r="C416" s="2" t="s">
        <v>86</v>
      </c>
      <c r="D416" s="2" t="s">
        <v>29</v>
      </c>
      <c r="E416" s="4"/>
      <c r="F416" s="4" t="str">
        <f>VLOOKUP($E416,Instructors!$A$2:$C693,3,FALSE)</f>
        <v>#N/A</v>
      </c>
      <c r="G416" s="4" t="str">
        <f t="shared" si="14"/>
        <v/>
      </c>
      <c r="H416" s="4" t="str">
        <f t="shared" si="3"/>
        <v/>
      </c>
      <c r="J416" s="4" t="b">
        <f t="shared" si="124"/>
        <v>0</v>
      </c>
      <c r="K416" s="2" t="b">
        <f t="shared" si="121"/>
        <v>0</v>
      </c>
      <c r="M416" s="4" t="b">
        <f t="shared" si="122"/>
        <v>0</v>
      </c>
      <c r="N416" s="4"/>
      <c r="O416" s="4"/>
      <c r="P416" s="4"/>
      <c r="Q416" s="4"/>
    </row>
    <row r="417">
      <c r="A417" s="2">
        <f t="shared" si="78"/>
        <v>15</v>
      </c>
      <c r="B417" s="3">
        <f t="shared" si="148"/>
        <v>46130</v>
      </c>
      <c r="C417" s="2" t="s">
        <v>86</v>
      </c>
      <c r="D417" s="2" t="s">
        <v>31</v>
      </c>
      <c r="E417" s="4"/>
      <c r="F417" s="4" t="str">
        <f>VLOOKUP($E417,Instructors!$A$2:$C693,3,FALSE)</f>
        <v>#N/A</v>
      </c>
      <c r="G417" s="4" t="str">
        <f t="shared" si="14"/>
        <v/>
      </c>
      <c r="H417" s="4" t="str">
        <f t="shared" si="3"/>
        <v/>
      </c>
      <c r="J417" s="4" t="b">
        <f t="shared" si="124"/>
        <v>0</v>
      </c>
      <c r="K417" s="2" t="b">
        <f t="shared" si="121"/>
        <v>0</v>
      </c>
      <c r="M417" s="4" t="b">
        <f t="shared" si="122"/>
        <v>0</v>
      </c>
      <c r="N417" s="4"/>
      <c r="O417" s="4"/>
      <c r="P417" s="4"/>
      <c r="Q417" s="4"/>
    </row>
    <row r="418">
      <c r="A418" s="2">
        <f t="shared" si="78"/>
        <v>15</v>
      </c>
      <c r="B418" s="3">
        <f t="shared" ref="B418:B421" si="149">B414+1</f>
        <v>46131</v>
      </c>
      <c r="C418" s="2" t="s">
        <v>93</v>
      </c>
      <c r="D418" s="2" t="s">
        <v>18</v>
      </c>
      <c r="E418" s="4"/>
      <c r="F418" s="4" t="str">
        <f>VLOOKUP($E418,Instructors!$A$2:$C693,3,FALSE)</f>
        <v>#N/A</v>
      </c>
      <c r="G418" s="4" t="str">
        <f t="shared" si="14"/>
        <v/>
      </c>
      <c r="H418" s="4" t="str">
        <f t="shared" si="3"/>
        <v/>
      </c>
      <c r="J418" s="4" t="b">
        <f t="shared" si="124"/>
        <v>0</v>
      </c>
      <c r="K418" s="2" t="b">
        <f t="shared" si="121"/>
        <v>0</v>
      </c>
      <c r="M418" s="4" t="b">
        <f t="shared" si="122"/>
        <v>0</v>
      </c>
      <c r="N418" s="4"/>
      <c r="O418" s="4"/>
      <c r="P418" s="4"/>
      <c r="Q418" s="4"/>
    </row>
    <row r="419">
      <c r="A419" s="2">
        <f t="shared" si="78"/>
        <v>15</v>
      </c>
      <c r="B419" s="3">
        <f t="shared" si="149"/>
        <v>46131</v>
      </c>
      <c r="C419" s="2" t="s">
        <v>93</v>
      </c>
      <c r="D419" s="2" t="s">
        <v>24</v>
      </c>
      <c r="E419" s="4"/>
      <c r="F419" s="4" t="str">
        <f>VLOOKUP($E419,Instructors!$A$2:$C693,3,FALSE)</f>
        <v>#N/A</v>
      </c>
      <c r="G419" s="4" t="str">
        <f t="shared" si="14"/>
        <v/>
      </c>
      <c r="H419" s="4" t="str">
        <f t="shared" si="3"/>
        <v/>
      </c>
      <c r="J419" s="4" t="b">
        <f t="shared" si="124"/>
        <v>0</v>
      </c>
      <c r="K419" s="2" t="b">
        <f t="shared" si="121"/>
        <v>0</v>
      </c>
      <c r="M419" s="4" t="b">
        <f t="shared" si="122"/>
        <v>0</v>
      </c>
      <c r="N419" s="4"/>
      <c r="O419" s="4"/>
      <c r="P419" s="4"/>
      <c r="Q419" s="4"/>
    </row>
    <row r="420">
      <c r="A420" s="2">
        <f t="shared" si="78"/>
        <v>15</v>
      </c>
      <c r="B420" s="3">
        <f t="shared" si="149"/>
        <v>46131</v>
      </c>
      <c r="C420" s="2" t="s">
        <v>93</v>
      </c>
      <c r="D420" s="2" t="s">
        <v>29</v>
      </c>
      <c r="E420" s="4"/>
      <c r="F420" s="4" t="str">
        <f>VLOOKUP($E420,Instructors!$A$2:$C693,3,FALSE)</f>
        <v>#N/A</v>
      </c>
      <c r="G420" s="4" t="str">
        <f t="shared" si="14"/>
        <v/>
      </c>
      <c r="H420" s="4" t="str">
        <f t="shared" si="3"/>
        <v/>
      </c>
      <c r="J420" s="4" t="b">
        <f t="shared" si="124"/>
        <v>0</v>
      </c>
      <c r="K420" s="2" t="b">
        <f t="shared" si="121"/>
        <v>0</v>
      </c>
      <c r="M420" s="4" t="b">
        <f t="shared" si="122"/>
        <v>0</v>
      </c>
      <c r="N420" s="4"/>
      <c r="O420" s="4"/>
      <c r="P420" s="4"/>
      <c r="Q420" s="4"/>
    </row>
    <row r="421">
      <c r="A421" s="2">
        <f t="shared" si="78"/>
        <v>15</v>
      </c>
      <c r="B421" s="3">
        <f t="shared" si="149"/>
        <v>46131</v>
      </c>
      <c r="C421" s="2" t="s">
        <v>93</v>
      </c>
      <c r="D421" s="2" t="s">
        <v>31</v>
      </c>
      <c r="E421" s="4"/>
      <c r="F421" s="4" t="str">
        <f>VLOOKUP($E421,Instructors!$A$2:$C693,3,FALSE)</f>
        <v>#N/A</v>
      </c>
      <c r="G421" s="4" t="str">
        <f t="shared" si="14"/>
        <v/>
      </c>
      <c r="H421" s="4" t="str">
        <f t="shared" si="3"/>
        <v/>
      </c>
      <c r="J421" s="4" t="b">
        <f t="shared" si="124"/>
        <v>0</v>
      </c>
      <c r="K421" s="2" t="b">
        <f t="shared" si="121"/>
        <v>0</v>
      </c>
      <c r="M421" s="4" t="b">
        <f t="shared" si="122"/>
        <v>0</v>
      </c>
      <c r="N421" s="4"/>
      <c r="O421" s="4"/>
      <c r="P421" s="4"/>
      <c r="Q421" s="4"/>
    </row>
    <row r="422">
      <c r="A422" s="2">
        <f t="shared" si="78"/>
        <v>16</v>
      </c>
      <c r="B422" s="3">
        <f t="shared" ref="B422:B425" si="150">B414+2</f>
        <v>46132</v>
      </c>
      <c r="C422" s="2" t="s">
        <v>17</v>
      </c>
      <c r="D422" s="2" t="s">
        <v>18</v>
      </c>
      <c r="E422" s="4"/>
      <c r="F422" s="4" t="str">
        <f>VLOOKUP($E422,Instructors!$A$2:$C693,3,FALSE)</f>
        <v>#N/A</v>
      </c>
      <c r="G422" s="4" t="str">
        <f t="shared" si="14"/>
        <v/>
      </c>
      <c r="H422" s="4" t="str">
        <f t="shared" si="3"/>
        <v/>
      </c>
      <c r="J422" s="4" t="b">
        <f t="shared" si="124"/>
        <v>0</v>
      </c>
      <c r="K422" s="2" t="b">
        <f t="shared" si="121"/>
        <v>0</v>
      </c>
      <c r="M422" s="4" t="b">
        <f t="shared" si="122"/>
        <v>0</v>
      </c>
      <c r="N422" s="4"/>
      <c r="O422" s="4"/>
      <c r="P422" s="4"/>
      <c r="Q422" s="4"/>
    </row>
    <row r="423">
      <c r="A423" s="2">
        <f t="shared" si="78"/>
        <v>16</v>
      </c>
      <c r="B423" s="3">
        <f t="shared" si="150"/>
        <v>46132</v>
      </c>
      <c r="C423" s="2" t="s">
        <v>17</v>
      </c>
      <c r="D423" s="2" t="s">
        <v>24</v>
      </c>
      <c r="E423" s="4"/>
      <c r="F423" s="4" t="str">
        <f>VLOOKUP($E423,Instructors!$A$2:$C693,3,FALSE)</f>
        <v>#N/A</v>
      </c>
      <c r="G423" s="4" t="str">
        <f t="shared" si="14"/>
        <v/>
      </c>
      <c r="H423" s="4" t="str">
        <f t="shared" si="3"/>
        <v/>
      </c>
      <c r="J423" s="4" t="b">
        <f t="shared" si="124"/>
        <v>0</v>
      </c>
      <c r="K423" s="2" t="b">
        <f t="shared" si="121"/>
        <v>0</v>
      </c>
      <c r="M423" s="4" t="b">
        <f t="shared" si="122"/>
        <v>0</v>
      </c>
      <c r="N423" s="4"/>
      <c r="O423" s="4"/>
      <c r="P423" s="4"/>
      <c r="Q423" s="4"/>
    </row>
    <row r="424">
      <c r="A424" s="2">
        <f t="shared" si="78"/>
        <v>16</v>
      </c>
      <c r="B424" s="3">
        <f t="shared" si="150"/>
        <v>46132</v>
      </c>
      <c r="C424" s="2" t="s">
        <v>17</v>
      </c>
      <c r="D424" s="2" t="s">
        <v>29</v>
      </c>
      <c r="E424" s="4"/>
      <c r="F424" s="4" t="str">
        <f>VLOOKUP($E424,Instructors!$A$2:$C693,3,FALSE)</f>
        <v>#N/A</v>
      </c>
      <c r="G424" s="4" t="str">
        <f t="shared" si="14"/>
        <v/>
      </c>
      <c r="H424" s="4" t="str">
        <f t="shared" si="3"/>
        <v/>
      </c>
      <c r="J424" s="4" t="b">
        <f t="shared" si="124"/>
        <v>0</v>
      </c>
      <c r="K424" s="2" t="b">
        <f t="shared" si="121"/>
        <v>0</v>
      </c>
      <c r="M424" s="4" t="b">
        <f t="shared" si="122"/>
        <v>0</v>
      </c>
      <c r="N424" s="4"/>
      <c r="O424" s="4"/>
      <c r="P424" s="4"/>
      <c r="Q424" s="4"/>
    </row>
    <row r="425">
      <c r="A425" s="2">
        <f t="shared" si="78"/>
        <v>16</v>
      </c>
      <c r="B425" s="3">
        <f t="shared" si="150"/>
        <v>46132</v>
      </c>
      <c r="C425" s="2" t="s">
        <v>17</v>
      </c>
      <c r="D425" s="2" t="s">
        <v>31</v>
      </c>
      <c r="E425" s="4"/>
      <c r="F425" s="4" t="str">
        <f>VLOOKUP($E425,Instructors!$A$2:$C693,3,FALSE)</f>
        <v>#N/A</v>
      </c>
      <c r="G425" s="4" t="str">
        <f t="shared" si="14"/>
        <v/>
      </c>
      <c r="H425" s="4" t="str">
        <f t="shared" si="3"/>
        <v/>
      </c>
      <c r="J425" s="4" t="b">
        <f t="shared" si="124"/>
        <v>0</v>
      </c>
      <c r="K425" s="2" t="b">
        <f t="shared" si="121"/>
        <v>0</v>
      </c>
      <c r="M425" s="4" t="b">
        <f t="shared" si="122"/>
        <v>0</v>
      </c>
      <c r="N425" s="4"/>
      <c r="O425" s="4"/>
      <c r="P425" s="4"/>
      <c r="Q425" s="4"/>
    </row>
    <row r="426">
      <c r="A426" s="2">
        <f t="shared" si="78"/>
        <v>16</v>
      </c>
      <c r="B426" s="3">
        <f t="shared" ref="B426:B429" si="151">B422+1</f>
        <v>46133</v>
      </c>
      <c r="C426" s="2" t="s">
        <v>33</v>
      </c>
      <c r="D426" s="2" t="s">
        <v>18</v>
      </c>
      <c r="E426" s="4"/>
      <c r="F426" s="4" t="str">
        <f>VLOOKUP($E426,Instructors!$A$2:$C693,3,FALSE)</f>
        <v>#N/A</v>
      </c>
      <c r="G426" s="4" t="str">
        <f t="shared" si="14"/>
        <v/>
      </c>
      <c r="H426" s="4" t="str">
        <f t="shared" si="3"/>
        <v/>
      </c>
      <c r="J426" s="4" t="b">
        <f t="shared" si="124"/>
        <v>0</v>
      </c>
      <c r="K426" s="2" t="b">
        <f t="shared" si="121"/>
        <v>0</v>
      </c>
      <c r="M426" s="4" t="b">
        <f t="shared" si="122"/>
        <v>0</v>
      </c>
      <c r="N426" s="4"/>
      <c r="O426" s="4"/>
      <c r="P426" s="4"/>
      <c r="Q426" s="4"/>
    </row>
    <row r="427">
      <c r="A427" s="2">
        <f t="shared" si="78"/>
        <v>16</v>
      </c>
      <c r="B427" s="3">
        <f t="shared" si="151"/>
        <v>46133</v>
      </c>
      <c r="C427" s="2" t="s">
        <v>33</v>
      </c>
      <c r="D427" s="2" t="s">
        <v>24</v>
      </c>
      <c r="E427" s="4"/>
      <c r="F427" s="4" t="str">
        <f>VLOOKUP($E427,Instructors!$A$2:$C693,3,FALSE)</f>
        <v>#N/A</v>
      </c>
      <c r="G427" s="4" t="str">
        <f t="shared" si="14"/>
        <v/>
      </c>
      <c r="H427" s="4" t="str">
        <f t="shared" si="3"/>
        <v/>
      </c>
      <c r="J427" s="4" t="b">
        <f t="shared" si="124"/>
        <v>0</v>
      </c>
      <c r="K427" s="2" t="b">
        <f t="shared" si="121"/>
        <v>0</v>
      </c>
      <c r="M427" s="4" t="b">
        <f t="shared" si="122"/>
        <v>0</v>
      </c>
      <c r="N427" s="4"/>
      <c r="O427" s="4"/>
      <c r="P427" s="4"/>
      <c r="Q427" s="4"/>
    </row>
    <row r="428">
      <c r="A428" s="2">
        <f t="shared" si="78"/>
        <v>16</v>
      </c>
      <c r="B428" s="3">
        <f t="shared" si="151"/>
        <v>46133</v>
      </c>
      <c r="C428" s="2" t="s">
        <v>33</v>
      </c>
      <c r="D428" s="2" t="s">
        <v>29</v>
      </c>
      <c r="E428" s="4"/>
      <c r="F428" s="4" t="str">
        <f>VLOOKUP($E428,Instructors!$A$2:$C693,3,FALSE)</f>
        <v>#N/A</v>
      </c>
      <c r="G428" s="4" t="str">
        <f t="shared" si="14"/>
        <v/>
      </c>
      <c r="H428" s="4" t="str">
        <f t="shared" si="3"/>
        <v/>
      </c>
      <c r="J428" s="4" t="b">
        <f t="shared" si="124"/>
        <v>0</v>
      </c>
      <c r="K428" s="2" t="b">
        <f t="shared" si="121"/>
        <v>0</v>
      </c>
      <c r="M428" s="4" t="b">
        <f t="shared" si="122"/>
        <v>0</v>
      </c>
      <c r="N428" s="4"/>
      <c r="O428" s="4"/>
      <c r="P428" s="4"/>
      <c r="Q428" s="4"/>
    </row>
    <row r="429">
      <c r="A429" s="2">
        <f t="shared" si="78"/>
        <v>16</v>
      </c>
      <c r="B429" s="3">
        <f t="shared" si="151"/>
        <v>46133</v>
      </c>
      <c r="C429" s="2" t="s">
        <v>33</v>
      </c>
      <c r="D429" s="2" t="s">
        <v>31</v>
      </c>
      <c r="E429" s="4"/>
      <c r="F429" s="4" t="str">
        <f>VLOOKUP($E429,Instructors!$A$2:$C693,3,FALSE)</f>
        <v>#N/A</v>
      </c>
      <c r="G429" s="4" t="str">
        <f t="shared" si="14"/>
        <v/>
      </c>
      <c r="H429" s="4" t="str">
        <f t="shared" si="3"/>
        <v/>
      </c>
      <c r="J429" s="4" t="b">
        <f t="shared" si="124"/>
        <v>0</v>
      </c>
      <c r="K429" s="2" t="b">
        <f t="shared" si="121"/>
        <v>0</v>
      </c>
      <c r="M429" s="4" t="b">
        <f t="shared" si="122"/>
        <v>0</v>
      </c>
      <c r="N429" s="4"/>
      <c r="O429" s="4"/>
      <c r="P429" s="4"/>
      <c r="Q429" s="4"/>
    </row>
    <row r="430">
      <c r="A430" s="2">
        <f t="shared" si="78"/>
        <v>16</v>
      </c>
      <c r="B430" s="3">
        <f t="shared" ref="B430:B437" si="152">B422+2</f>
        <v>46134</v>
      </c>
      <c r="C430" s="2" t="s">
        <v>45</v>
      </c>
      <c r="D430" s="2" t="s">
        <v>18</v>
      </c>
      <c r="E430" s="4"/>
      <c r="F430" s="4" t="str">
        <f>VLOOKUP($E430,Instructors!$A$2:$C693,3,FALSE)</f>
        <v>#N/A</v>
      </c>
      <c r="G430" s="4" t="str">
        <f t="shared" si="14"/>
        <v/>
      </c>
      <c r="H430" s="4" t="str">
        <f t="shared" si="3"/>
        <v/>
      </c>
      <c r="J430" s="4" t="b">
        <f t="shared" si="124"/>
        <v>0</v>
      </c>
      <c r="K430" s="2" t="b">
        <f t="shared" si="121"/>
        <v>0</v>
      </c>
      <c r="M430" s="4" t="b">
        <f t="shared" si="122"/>
        <v>0</v>
      </c>
      <c r="N430" s="4"/>
      <c r="O430" s="4"/>
      <c r="P430" s="4"/>
      <c r="Q430" s="4"/>
    </row>
    <row r="431">
      <c r="A431" s="2">
        <f t="shared" si="78"/>
        <v>16</v>
      </c>
      <c r="B431" s="3">
        <f t="shared" si="152"/>
        <v>46134</v>
      </c>
      <c r="C431" s="2" t="s">
        <v>45</v>
      </c>
      <c r="D431" s="2" t="s">
        <v>24</v>
      </c>
      <c r="E431" s="4"/>
      <c r="F431" s="4" t="str">
        <f>VLOOKUP($E431,Instructors!$A$2:$C693,3,FALSE)</f>
        <v>#N/A</v>
      </c>
      <c r="G431" s="4" t="str">
        <f t="shared" si="14"/>
        <v/>
      </c>
      <c r="H431" s="4" t="str">
        <f t="shared" si="3"/>
        <v/>
      </c>
      <c r="J431" s="4" t="b">
        <f t="shared" si="124"/>
        <v>0</v>
      </c>
      <c r="K431" s="2" t="b">
        <f t="shared" si="121"/>
        <v>0</v>
      </c>
      <c r="M431" s="4" t="b">
        <f t="shared" si="122"/>
        <v>0</v>
      </c>
      <c r="N431" s="4"/>
      <c r="O431" s="4"/>
      <c r="P431" s="4"/>
      <c r="Q431" s="4"/>
    </row>
    <row r="432">
      <c r="A432" s="2">
        <f t="shared" si="78"/>
        <v>16</v>
      </c>
      <c r="B432" s="3">
        <f t="shared" si="152"/>
        <v>46134</v>
      </c>
      <c r="C432" s="2" t="s">
        <v>45</v>
      </c>
      <c r="D432" s="2" t="s">
        <v>29</v>
      </c>
      <c r="E432" s="4"/>
      <c r="F432" s="4" t="str">
        <f>VLOOKUP($E432,Instructors!$A$2:$C693,3,FALSE)</f>
        <v>#N/A</v>
      </c>
      <c r="G432" s="4" t="str">
        <f t="shared" si="14"/>
        <v/>
      </c>
      <c r="H432" s="4" t="str">
        <f t="shared" si="3"/>
        <v/>
      </c>
      <c r="J432" s="4" t="b">
        <f t="shared" si="124"/>
        <v>0</v>
      </c>
      <c r="K432" s="2" t="b">
        <f t="shared" si="121"/>
        <v>0</v>
      </c>
      <c r="M432" s="4" t="b">
        <f t="shared" si="122"/>
        <v>0</v>
      </c>
      <c r="N432" s="4"/>
      <c r="O432" s="4"/>
      <c r="P432" s="4"/>
      <c r="Q432" s="4"/>
    </row>
    <row r="433">
      <c r="A433" s="2">
        <f t="shared" si="78"/>
        <v>16</v>
      </c>
      <c r="B433" s="3">
        <f t="shared" si="152"/>
        <v>46134</v>
      </c>
      <c r="C433" s="2" t="s">
        <v>45</v>
      </c>
      <c r="D433" s="2" t="s">
        <v>31</v>
      </c>
      <c r="E433" s="4"/>
      <c r="F433" s="4" t="str">
        <f>VLOOKUP($E433,Instructors!$A$2:$C693,3,FALSE)</f>
        <v>#N/A</v>
      </c>
      <c r="G433" s="4" t="str">
        <f t="shared" si="14"/>
        <v/>
      </c>
      <c r="H433" s="4" t="str">
        <f t="shared" si="3"/>
        <v/>
      </c>
      <c r="J433" s="4" t="b">
        <f t="shared" si="124"/>
        <v>0</v>
      </c>
      <c r="K433" s="2" t="b">
        <f t="shared" si="121"/>
        <v>0</v>
      </c>
      <c r="M433" s="4" t="b">
        <f t="shared" si="122"/>
        <v>0</v>
      </c>
      <c r="N433" s="4"/>
      <c r="O433" s="4"/>
      <c r="P433" s="4"/>
      <c r="Q433" s="4"/>
    </row>
    <row r="434">
      <c r="A434" s="2">
        <f t="shared" si="78"/>
        <v>16</v>
      </c>
      <c r="B434" s="3">
        <f t="shared" si="152"/>
        <v>46135</v>
      </c>
      <c r="C434" s="2" t="s">
        <v>57</v>
      </c>
      <c r="D434" s="2" t="s">
        <v>18</v>
      </c>
      <c r="E434" s="4"/>
      <c r="F434" s="4" t="str">
        <f>VLOOKUP($E434,Instructors!$A$2:$C693,3,FALSE)</f>
        <v>#N/A</v>
      </c>
      <c r="G434" s="4" t="str">
        <f t="shared" si="14"/>
        <v/>
      </c>
      <c r="H434" s="4" t="str">
        <f t="shared" si="3"/>
        <v/>
      </c>
      <c r="J434" s="4" t="b">
        <f t="shared" si="124"/>
        <v>0</v>
      </c>
      <c r="K434" s="2" t="b">
        <f t="shared" si="121"/>
        <v>0</v>
      </c>
      <c r="M434" s="4" t="b">
        <f t="shared" si="122"/>
        <v>0</v>
      </c>
      <c r="N434" s="4"/>
      <c r="O434" s="4"/>
      <c r="P434" s="4"/>
      <c r="Q434" s="4"/>
    </row>
    <row r="435">
      <c r="A435" s="2">
        <f t="shared" si="78"/>
        <v>16</v>
      </c>
      <c r="B435" s="3">
        <f t="shared" si="152"/>
        <v>46135</v>
      </c>
      <c r="C435" s="2" t="s">
        <v>57</v>
      </c>
      <c r="D435" s="2" t="s">
        <v>24</v>
      </c>
      <c r="E435" s="4"/>
      <c r="F435" s="4" t="str">
        <f>VLOOKUP($E435,Instructors!$A$2:$C693,3,FALSE)</f>
        <v>#N/A</v>
      </c>
      <c r="G435" s="4" t="str">
        <f t="shared" si="14"/>
        <v/>
      </c>
      <c r="H435" s="4" t="str">
        <f t="shared" si="3"/>
        <v/>
      </c>
      <c r="J435" s="4" t="b">
        <f t="shared" si="124"/>
        <v>0</v>
      </c>
      <c r="K435" s="2" t="b">
        <f t="shared" si="121"/>
        <v>0</v>
      </c>
      <c r="M435" s="4" t="b">
        <f t="shared" si="122"/>
        <v>0</v>
      </c>
      <c r="N435" s="4"/>
      <c r="O435" s="4"/>
      <c r="P435" s="4"/>
      <c r="Q435" s="4"/>
    </row>
    <row r="436">
      <c r="A436" s="2">
        <f t="shared" si="78"/>
        <v>16</v>
      </c>
      <c r="B436" s="3">
        <f t="shared" si="152"/>
        <v>46135</v>
      </c>
      <c r="C436" s="2" t="s">
        <v>57</v>
      </c>
      <c r="D436" s="2" t="s">
        <v>29</v>
      </c>
      <c r="E436" s="4"/>
      <c r="F436" s="4" t="str">
        <f>VLOOKUP($E436,Instructors!$A$2:$C693,3,FALSE)</f>
        <v>#N/A</v>
      </c>
      <c r="G436" s="4" t="str">
        <f t="shared" si="14"/>
        <v/>
      </c>
      <c r="H436" s="4" t="str">
        <f t="shared" si="3"/>
        <v/>
      </c>
      <c r="J436" s="4" t="b">
        <f t="shared" si="124"/>
        <v>0</v>
      </c>
      <c r="K436" s="2" t="b">
        <f t="shared" si="121"/>
        <v>0</v>
      </c>
      <c r="M436" s="4" t="b">
        <f t="shared" si="122"/>
        <v>0</v>
      </c>
      <c r="N436" s="4"/>
      <c r="O436" s="4"/>
      <c r="P436" s="4"/>
      <c r="Q436" s="4"/>
    </row>
    <row r="437">
      <c r="A437" s="2">
        <f t="shared" si="78"/>
        <v>16</v>
      </c>
      <c r="B437" s="3">
        <f t="shared" si="152"/>
        <v>46135</v>
      </c>
      <c r="C437" s="2" t="s">
        <v>57</v>
      </c>
      <c r="D437" s="2" t="s">
        <v>31</v>
      </c>
      <c r="E437" s="4"/>
      <c r="F437" s="4" t="str">
        <f>VLOOKUP($E437,Instructors!$A$2:$C693,3,FALSE)</f>
        <v>#N/A</v>
      </c>
      <c r="G437" s="4" t="str">
        <f t="shared" si="14"/>
        <v/>
      </c>
      <c r="H437" s="4" t="str">
        <f t="shared" si="3"/>
        <v/>
      </c>
      <c r="J437" s="4" t="b">
        <f t="shared" si="124"/>
        <v>0</v>
      </c>
      <c r="K437" s="2" t="b">
        <f t="shared" si="121"/>
        <v>0</v>
      </c>
      <c r="M437" s="4" t="b">
        <f t="shared" si="122"/>
        <v>0</v>
      </c>
      <c r="N437" s="4"/>
      <c r="O437" s="4"/>
      <c r="P437" s="4"/>
      <c r="Q437" s="4"/>
    </row>
    <row r="438">
      <c r="A438" s="2">
        <f t="shared" si="78"/>
        <v>16</v>
      </c>
      <c r="B438" s="3">
        <f t="shared" ref="B438:B441" si="153">B434+1</f>
        <v>46136</v>
      </c>
      <c r="C438" s="2" t="s">
        <v>73</v>
      </c>
      <c r="D438" s="2" t="s">
        <v>18</v>
      </c>
      <c r="E438" s="4"/>
      <c r="F438" s="4" t="str">
        <f>VLOOKUP($E438,Instructors!$A$2:$C693,3,FALSE)</f>
        <v>#N/A</v>
      </c>
      <c r="G438" s="4" t="str">
        <f t="shared" si="14"/>
        <v/>
      </c>
      <c r="H438" s="4" t="str">
        <f t="shared" si="3"/>
        <v/>
      </c>
      <c r="J438" s="4" t="b">
        <f t="shared" si="124"/>
        <v>0</v>
      </c>
      <c r="K438" s="2" t="b">
        <f t="shared" si="121"/>
        <v>0</v>
      </c>
      <c r="M438" s="4" t="b">
        <f t="shared" si="122"/>
        <v>0</v>
      </c>
      <c r="N438" s="4"/>
      <c r="O438" s="4"/>
      <c r="P438" s="4"/>
      <c r="Q438" s="4"/>
    </row>
    <row r="439">
      <c r="A439" s="2">
        <f t="shared" si="78"/>
        <v>16</v>
      </c>
      <c r="B439" s="3">
        <f t="shared" si="153"/>
        <v>46136</v>
      </c>
      <c r="C439" s="2" t="s">
        <v>73</v>
      </c>
      <c r="D439" s="2" t="s">
        <v>24</v>
      </c>
      <c r="E439" s="4"/>
      <c r="F439" s="4" t="str">
        <f>VLOOKUP($E439,Instructors!$A$2:$C693,3,FALSE)</f>
        <v>#N/A</v>
      </c>
      <c r="G439" s="4" t="str">
        <f t="shared" si="14"/>
        <v/>
      </c>
      <c r="H439" s="4" t="str">
        <f t="shared" si="3"/>
        <v/>
      </c>
      <c r="J439" s="4" t="b">
        <f t="shared" si="124"/>
        <v>0</v>
      </c>
      <c r="K439" s="2" t="b">
        <f t="shared" si="121"/>
        <v>0</v>
      </c>
      <c r="M439" s="4" t="b">
        <f t="shared" si="122"/>
        <v>0</v>
      </c>
      <c r="N439" s="4"/>
      <c r="O439" s="4"/>
      <c r="P439" s="4"/>
      <c r="Q439" s="4"/>
    </row>
    <row r="440">
      <c r="A440" s="2">
        <f t="shared" si="78"/>
        <v>16</v>
      </c>
      <c r="B440" s="3">
        <f t="shared" si="153"/>
        <v>46136</v>
      </c>
      <c r="C440" s="2" t="s">
        <v>73</v>
      </c>
      <c r="D440" s="2" t="s">
        <v>29</v>
      </c>
      <c r="E440" s="4"/>
      <c r="F440" s="4" t="str">
        <f>VLOOKUP($E440,Instructors!$A$2:$C693,3,FALSE)</f>
        <v>#N/A</v>
      </c>
      <c r="G440" s="4" t="str">
        <f t="shared" si="14"/>
        <v/>
      </c>
      <c r="H440" s="4" t="str">
        <f t="shared" si="3"/>
        <v/>
      </c>
      <c r="J440" s="4" t="b">
        <f t="shared" si="124"/>
        <v>0</v>
      </c>
      <c r="K440" s="2" t="b">
        <f t="shared" si="121"/>
        <v>0</v>
      </c>
      <c r="M440" s="4" t="b">
        <f t="shared" si="122"/>
        <v>0</v>
      </c>
      <c r="N440" s="4"/>
      <c r="O440" s="4"/>
      <c r="P440" s="4"/>
      <c r="Q440" s="4"/>
    </row>
    <row r="441">
      <c r="A441" s="2">
        <f t="shared" si="78"/>
        <v>16</v>
      </c>
      <c r="B441" s="3">
        <f t="shared" si="153"/>
        <v>46136</v>
      </c>
      <c r="C441" s="2" t="s">
        <v>73</v>
      </c>
      <c r="D441" s="2" t="s">
        <v>31</v>
      </c>
      <c r="E441" s="4"/>
      <c r="F441" s="4" t="str">
        <f>VLOOKUP($E441,Instructors!$A$2:$C693,3,FALSE)</f>
        <v>#N/A</v>
      </c>
      <c r="G441" s="4" t="str">
        <f t="shared" si="14"/>
        <v/>
      </c>
      <c r="H441" s="4" t="str">
        <f t="shared" si="3"/>
        <v/>
      </c>
      <c r="J441" s="4" t="b">
        <f t="shared" si="124"/>
        <v>0</v>
      </c>
      <c r="K441" s="2" t="b">
        <f t="shared" si="121"/>
        <v>0</v>
      </c>
      <c r="M441" s="4" t="b">
        <f t="shared" si="122"/>
        <v>0</v>
      </c>
      <c r="N441" s="4"/>
      <c r="O441" s="4"/>
      <c r="P441" s="4"/>
      <c r="Q441" s="4"/>
    </row>
    <row r="442">
      <c r="A442" s="2">
        <f t="shared" si="78"/>
        <v>16</v>
      </c>
      <c r="B442" s="3">
        <f t="shared" ref="B442:B445" si="154">B434+2</f>
        <v>46137</v>
      </c>
      <c r="C442" s="2" t="s">
        <v>86</v>
      </c>
      <c r="D442" s="2" t="s">
        <v>18</v>
      </c>
      <c r="E442" s="4"/>
      <c r="F442" s="4" t="str">
        <f>VLOOKUP($E442,Instructors!$A$2:$C693,3,FALSE)</f>
        <v>#N/A</v>
      </c>
      <c r="G442" s="4" t="str">
        <f t="shared" si="14"/>
        <v/>
      </c>
      <c r="H442" s="4" t="str">
        <f t="shared" si="3"/>
        <v/>
      </c>
      <c r="J442" s="4" t="b">
        <f t="shared" si="124"/>
        <v>0</v>
      </c>
      <c r="K442" s="2" t="b">
        <f t="shared" si="121"/>
        <v>0</v>
      </c>
      <c r="M442" s="4" t="b">
        <f t="shared" si="122"/>
        <v>0</v>
      </c>
      <c r="N442" s="4"/>
      <c r="O442" s="4"/>
      <c r="P442" s="4"/>
      <c r="Q442" s="4"/>
    </row>
    <row r="443">
      <c r="A443" s="2">
        <f t="shared" si="78"/>
        <v>16</v>
      </c>
      <c r="B443" s="3">
        <f t="shared" si="154"/>
        <v>46137</v>
      </c>
      <c r="C443" s="2" t="s">
        <v>86</v>
      </c>
      <c r="D443" s="2" t="s">
        <v>24</v>
      </c>
      <c r="E443" s="4"/>
      <c r="F443" s="4" t="str">
        <f>VLOOKUP($E443,Instructors!$A$2:$C693,3,FALSE)</f>
        <v>#N/A</v>
      </c>
      <c r="G443" s="4" t="str">
        <f t="shared" si="14"/>
        <v/>
      </c>
      <c r="H443" s="4" t="str">
        <f t="shared" si="3"/>
        <v/>
      </c>
      <c r="J443" s="4" t="b">
        <f t="shared" si="124"/>
        <v>0</v>
      </c>
      <c r="K443" s="2" t="b">
        <f t="shared" si="121"/>
        <v>0</v>
      </c>
      <c r="M443" s="4" t="b">
        <f t="shared" si="122"/>
        <v>0</v>
      </c>
      <c r="N443" s="4"/>
      <c r="O443" s="4"/>
      <c r="P443" s="4"/>
      <c r="Q443" s="4"/>
    </row>
    <row r="444">
      <c r="A444" s="2">
        <f t="shared" si="78"/>
        <v>16</v>
      </c>
      <c r="B444" s="3">
        <f t="shared" si="154"/>
        <v>46137</v>
      </c>
      <c r="C444" s="2" t="s">
        <v>86</v>
      </c>
      <c r="D444" s="2" t="s">
        <v>29</v>
      </c>
      <c r="E444" s="4"/>
      <c r="F444" s="4" t="str">
        <f>VLOOKUP($E444,Instructors!$A$2:$C693,3,FALSE)</f>
        <v>#N/A</v>
      </c>
      <c r="G444" s="4" t="str">
        <f t="shared" si="14"/>
        <v/>
      </c>
      <c r="H444" s="4" t="str">
        <f t="shared" si="3"/>
        <v/>
      </c>
      <c r="J444" s="4" t="b">
        <f t="shared" si="124"/>
        <v>0</v>
      </c>
      <c r="K444" s="2" t="b">
        <f t="shared" si="121"/>
        <v>0</v>
      </c>
      <c r="M444" s="4" t="b">
        <f t="shared" si="122"/>
        <v>0</v>
      </c>
      <c r="N444" s="4"/>
      <c r="O444" s="4"/>
      <c r="P444" s="4"/>
      <c r="Q444" s="4"/>
    </row>
    <row r="445">
      <c r="A445" s="2">
        <f t="shared" si="78"/>
        <v>16</v>
      </c>
      <c r="B445" s="3">
        <f t="shared" si="154"/>
        <v>46137</v>
      </c>
      <c r="C445" s="2" t="s">
        <v>86</v>
      </c>
      <c r="D445" s="2" t="s">
        <v>31</v>
      </c>
      <c r="E445" s="4"/>
      <c r="F445" s="4" t="str">
        <f>VLOOKUP($E445,Instructors!$A$2:$C693,3,FALSE)</f>
        <v>#N/A</v>
      </c>
      <c r="G445" s="4" t="str">
        <f t="shared" si="14"/>
        <v/>
      </c>
      <c r="H445" s="4" t="str">
        <f t="shared" si="3"/>
        <v/>
      </c>
      <c r="J445" s="4" t="b">
        <f t="shared" si="124"/>
        <v>0</v>
      </c>
      <c r="K445" s="2" t="b">
        <f t="shared" si="121"/>
        <v>0</v>
      </c>
      <c r="M445" s="4" t="b">
        <f t="shared" si="122"/>
        <v>0</v>
      </c>
      <c r="N445" s="4"/>
      <c r="O445" s="4"/>
      <c r="P445" s="4"/>
      <c r="Q445" s="4"/>
    </row>
    <row r="446">
      <c r="A446" s="2">
        <f t="shared" si="78"/>
        <v>16</v>
      </c>
      <c r="B446" s="3">
        <f t="shared" ref="B446:B449" si="155">B442+1</f>
        <v>46138</v>
      </c>
      <c r="C446" s="2" t="s">
        <v>93</v>
      </c>
      <c r="D446" s="2" t="s">
        <v>18</v>
      </c>
      <c r="E446" s="4"/>
      <c r="F446" s="4" t="str">
        <f>VLOOKUP($E446,Instructors!$A$2:$C693,3,FALSE)</f>
        <v>#N/A</v>
      </c>
      <c r="G446" s="4" t="str">
        <f t="shared" si="14"/>
        <v/>
      </c>
      <c r="H446" s="4" t="str">
        <f t="shared" si="3"/>
        <v/>
      </c>
      <c r="J446" s="4" t="b">
        <f t="shared" si="124"/>
        <v>0</v>
      </c>
      <c r="K446" s="2" t="b">
        <f t="shared" si="121"/>
        <v>0</v>
      </c>
      <c r="M446" s="4" t="b">
        <f t="shared" si="122"/>
        <v>0</v>
      </c>
      <c r="N446" s="4"/>
      <c r="O446" s="4"/>
      <c r="P446" s="4"/>
      <c r="Q446" s="4"/>
    </row>
    <row r="447">
      <c r="A447" s="2">
        <f t="shared" si="78"/>
        <v>16</v>
      </c>
      <c r="B447" s="3">
        <f t="shared" si="155"/>
        <v>46138</v>
      </c>
      <c r="C447" s="2" t="s">
        <v>93</v>
      </c>
      <c r="D447" s="2" t="s">
        <v>24</v>
      </c>
      <c r="E447" s="4"/>
      <c r="F447" s="4" t="str">
        <f>VLOOKUP($E447,Instructors!$A$2:$C693,3,FALSE)</f>
        <v>#N/A</v>
      </c>
      <c r="G447" s="4" t="str">
        <f t="shared" si="14"/>
        <v/>
      </c>
      <c r="H447" s="4" t="str">
        <f t="shared" si="3"/>
        <v/>
      </c>
      <c r="J447" s="4" t="b">
        <f t="shared" si="124"/>
        <v>0</v>
      </c>
      <c r="K447" s="2" t="b">
        <f t="shared" si="121"/>
        <v>0</v>
      </c>
      <c r="M447" s="4" t="b">
        <f t="shared" si="122"/>
        <v>0</v>
      </c>
      <c r="N447" s="4"/>
      <c r="O447" s="4"/>
      <c r="P447" s="4"/>
      <c r="Q447" s="4"/>
    </row>
    <row r="448">
      <c r="A448" s="2">
        <f t="shared" si="78"/>
        <v>16</v>
      </c>
      <c r="B448" s="3">
        <f t="shared" si="155"/>
        <v>46138</v>
      </c>
      <c r="C448" s="2" t="s">
        <v>93</v>
      </c>
      <c r="D448" s="2" t="s">
        <v>29</v>
      </c>
      <c r="E448" s="4"/>
      <c r="F448" s="4" t="str">
        <f>VLOOKUP($E448,Instructors!$A$2:$C693,3,FALSE)</f>
        <v>#N/A</v>
      </c>
      <c r="G448" s="4" t="str">
        <f t="shared" si="14"/>
        <v/>
      </c>
      <c r="H448" s="4" t="str">
        <f t="shared" si="3"/>
        <v/>
      </c>
      <c r="J448" s="4" t="b">
        <f t="shared" si="124"/>
        <v>0</v>
      </c>
      <c r="K448" s="2" t="b">
        <f t="shared" si="121"/>
        <v>0</v>
      </c>
      <c r="M448" s="4" t="b">
        <f t="shared" si="122"/>
        <v>0</v>
      </c>
      <c r="N448" s="4"/>
      <c r="O448" s="4"/>
      <c r="P448" s="4"/>
      <c r="Q448" s="4"/>
    </row>
    <row r="449">
      <c r="A449" s="2">
        <f t="shared" si="78"/>
        <v>16</v>
      </c>
      <c r="B449" s="3">
        <f t="shared" si="155"/>
        <v>46138</v>
      </c>
      <c r="C449" s="2" t="s">
        <v>93</v>
      </c>
      <c r="D449" s="2" t="s">
        <v>31</v>
      </c>
      <c r="E449" s="4"/>
      <c r="F449" s="4" t="str">
        <f>VLOOKUP($E449,Instructors!$A$2:$C693,3,FALSE)</f>
        <v>#N/A</v>
      </c>
      <c r="G449" s="4" t="str">
        <f t="shared" si="14"/>
        <v/>
      </c>
      <c r="H449" s="4" t="str">
        <f t="shared" si="3"/>
        <v/>
      </c>
      <c r="J449" s="4" t="b">
        <f t="shared" si="124"/>
        <v>0</v>
      </c>
      <c r="K449" s="2" t="b">
        <f t="shared" si="121"/>
        <v>0</v>
      </c>
      <c r="M449" s="4" t="b">
        <f t="shared" si="122"/>
        <v>0</v>
      </c>
      <c r="N449" s="4"/>
      <c r="O449" s="4"/>
      <c r="P449" s="4"/>
      <c r="Q449" s="4"/>
    </row>
    <row r="450">
      <c r="A450" s="2">
        <f t="shared" si="78"/>
        <v>17</v>
      </c>
      <c r="B450" s="3">
        <f t="shared" ref="B450:B453" si="156">B442+2</f>
        <v>46139</v>
      </c>
      <c r="C450" s="2" t="s">
        <v>17</v>
      </c>
      <c r="D450" s="2" t="s">
        <v>18</v>
      </c>
      <c r="E450" s="4"/>
      <c r="F450" s="4" t="str">
        <f>VLOOKUP($E450,Instructors!$A$2:$C693,3,FALSE)</f>
        <v>#N/A</v>
      </c>
      <c r="G450" s="4" t="str">
        <f t="shared" si="14"/>
        <v/>
      </c>
      <c r="H450" s="4" t="str">
        <f t="shared" si="3"/>
        <v/>
      </c>
      <c r="J450" s="4" t="b">
        <f t="shared" si="124"/>
        <v>0</v>
      </c>
      <c r="K450" s="2" t="b">
        <f t="shared" si="121"/>
        <v>0</v>
      </c>
      <c r="M450" s="4" t="b">
        <f t="shared" si="122"/>
        <v>0</v>
      </c>
      <c r="N450" s="4"/>
      <c r="O450" s="4"/>
      <c r="P450" s="4"/>
      <c r="Q450" s="4"/>
    </row>
    <row r="451">
      <c r="A451" s="2">
        <f t="shared" si="78"/>
        <v>17</v>
      </c>
      <c r="B451" s="3">
        <f t="shared" si="156"/>
        <v>46139</v>
      </c>
      <c r="C451" s="2" t="s">
        <v>17</v>
      </c>
      <c r="D451" s="2" t="s">
        <v>24</v>
      </c>
      <c r="E451" s="4"/>
      <c r="F451" s="4" t="str">
        <f>VLOOKUP($E451,Instructors!$A$2:$C693,3,FALSE)</f>
        <v>#N/A</v>
      </c>
      <c r="G451" s="4" t="str">
        <f t="shared" si="14"/>
        <v/>
      </c>
      <c r="H451" s="4" t="str">
        <f t="shared" si="3"/>
        <v/>
      </c>
      <c r="J451" s="4" t="b">
        <f t="shared" si="124"/>
        <v>0</v>
      </c>
      <c r="K451" s="2" t="b">
        <f t="shared" si="121"/>
        <v>0</v>
      </c>
      <c r="M451" s="4" t="b">
        <f t="shared" si="122"/>
        <v>0</v>
      </c>
      <c r="N451" s="4"/>
      <c r="O451" s="4"/>
      <c r="P451" s="4"/>
      <c r="Q451" s="4"/>
    </row>
    <row r="452">
      <c r="A452" s="2">
        <f t="shared" si="78"/>
        <v>17</v>
      </c>
      <c r="B452" s="3">
        <f t="shared" si="156"/>
        <v>46139</v>
      </c>
      <c r="C452" s="2" t="s">
        <v>17</v>
      </c>
      <c r="D452" s="2" t="s">
        <v>29</v>
      </c>
      <c r="E452" s="4"/>
      <c r="F452" s="4" t="str">
        <f>VLOOKUP($E452,Instructors!$A$2:$C693,3,FALSE)</f>
        <v>#N/A</v>
      </c>
      <c r="G452" s="4" t="str">
        <f t="shared" si="14"/>
        <v/>
      </c>
      <c r="H452" s="4" t="str">
        <f t="shared" si="3"/>
        <v/>
      </c>
      <c r="J452" s="4" t="b">
        <f t="shared" si="124"/>
        <v>0</v>
      </c>
      <c r="K452" s="2" t="b">
        <f t="shared" si="121"/>
        <v>0</v>
      </c>
      <c r="M452" s="4" t="b">
        <f t="shared" si="122"/>
        <v>0</v>
      </c>
      <c r="N452" s="4"/>
      <c r="O452" s="4"/>
      <c r="P452" s="4"/>
      <c r="Q452" s="4"/>
    </row>
    <row r="453">
      <c r="A453" s="2">
        <f t="shared" si="78"/>
        <v>17</v>
      </c>
      <c r="B453" s="3">
        <f t="shared" si="156"/>
        <v>46139</v>
      </c>
      <c r="C453" s="2" t="s">
        <v>17</v>
      </c>
      <c r="D453" s="2" t="s">
        <v>31</v>
      </c>
      <c r="E453" s="4"/>
      <c r="F453" s="4" t="str">
        <f>VLOOKUP($E453,Instructors!$A$2:$C693,3,FALSE)</f>
        <v>#N/A</v>
      </c>
      <c r="G453" s="4" t="str">
        <f t="shared" si="14"/>
        <v/>
      </c>
      <c r="H453" s="4" t="str">
        <f t="shared" si="3"/>
        <v/>
      </c>
      <c r="J453" s="4" t="b">
        <f t="shared" si="124"/>
        <v>0</v>
      </c>
      <c r="K453" s="2" t="b">
        <f t="shared" si="121"/>
        <v>0</v>
      </c>
      <c r="M453" s="4" t="b">
        <f t="shared" si="122"/>
        <v>0</v>
      </c>
      <c r="N453" s="4"/>
      <c r="O453" s="4"/>
      <c r="P453" s="4"/>
      <c r="Q453" s="4"/>
    </row>
    <row r="454">
      <c r="A454" s="2">
        <f t="shared" si="78"/>
        <v>17</v>
      </c>
      <c r="B454" s="3">
        <f t="shared" ref="B454:B457" si="157">B450+1</f>
        <v>46140</v>
      </c>
      <c r="C454" s="2" t="s">
        <v>33</v>
      </c>
      <c r="D454" s="2" t="s">
        <v>18</v>
      </c>
      <c r="E454" s="4"/>
      <c r="F454" s="4" t="str">
        <f>VLOOKUP($E454,Instructors!$A$2:$C693,3,FALSE)</f>
        <v>#N/A</v>
      </c>
      <c r="G454" s="4" t="str">
        <f t="shared" si="14"/>
        <v/>
      </c>
      <c r="H454" s="4" t="str">
        <f t="shared" si="3"/>
        <v/>
      </c>
      <c r="J454" s="4" t="b">
        <f t="shared" si="124"/>
        <v>0</v>
      </c>
      <c r="K454" s="2" t="b">
        <f t="shared" si="121"/>
        <v>0</v>
      </c>
      <c r="M454" s="4" t="b">
        <f t="shared" si="122"/>
        <v>0</v>
      </c>
      <c r="N454" s="4"/>
      <c r="O454" s="4"/>
      <c r="P454" s="4"/>
      <c r="Q454" s="4"/>
    </row>
    <row r="455">
      <c r="A455" s="2">
        <f t="shared" si="78"/>
        <v>17</v>
      </c>
      <c r="B455" s="3">
        <f t="shared" si="157"/>
        <v>46140</v>
      </c>
      <c r="C455" s="2" t="s">
        <v>33</v>
      </c>
      <c r="D455" s="2" t="s">
        <v>24</v>
      </c>
      <c r="E455" s="4"/>
      <c r="F455" s="4" t="str">
        <f>VLOOKUP($E455,Instructors!$A$2:$C693,3,FALSE)</f>
        <v>#N/A</v>
      </c>
      <c r="G455" s="4" t="str">
        <f t="shared" si="14"/>
        <v/>
      </c>
      <c r="H455" s="4" t="str">
        <f t="shared" si="3"/>
        <v/>
      </c>
      <c r="J455" s="4" t="b">
        <f t="shared" si="124"/>
        <v>0</v>
      </c>
      <c r="K455" s="2" t="b">
        <f t="shared" si="121"/>
        <v>0</v>
      </c>
      <c r="M455" s="4" t="b">
        <f t="shared" si="122"/>
        <v>0</v>
      </c>
      <c r="N455" s="4"/>
      <c r="O455" s="4"/>
      <c r="P455" s="4"/>
      <c r="Q455" s="4"/>
    </row>
    <row r="456">
      <c r="A456" s="2">
        <f t="shared" si="78"/>
        <v>17</v>
      </c>
      <c r="B456" s="3">
        <f t="shared" si="157"/>
        <v>46140</v>
      </c>
      <c r="C456" s="2" t="s">
        <v>33</v>
      </c>
      <c r="D456" s="2" t="s">
        <v>29</v>
      </c>
      <c r="E456" s="4"/>
      <c r="F456" s="4" t="str">
        <f>VLOOKUP($E456,Instructors!$A$2:$C693,3,FALSE)</f>
        <v>#N/A</v>
      </c>
      <c r="G456" s="4" t="str">
        <f t="shared" si="14"/>
        <v/>
      </c>
      <c r="H456" s="4" t="str">
        <f t="shared" si="3"/>
        <v/>
      </c>
      <c r="J456" s="4" t="b">
        <f t="shared" si="124"/>
        <v>0</v>
      </c>
      <c r="K456" s="2" t="b">
        <f t="shared" si="121"/>
        <v>0</v>
      </c>
      <c r="M456" s="4" t="b">
        <f t="shared" si="122"/>
        <v>0</v>
      </c>
      <c r="N456" s="4"/>
      <c r="O456" s="4"/>
      <c r="P456" s="4"/>
      <c r="Q456" s="4"/>
    </row>
    <row r="457">
      <c r="A457" s="2">
        <f t="shared" si="78"/>
        <v>17</v>
      </c>
      <c r="B457" s="3">
        <f t="shared" si="157"/>
        <v>46140</v>
      </c>
      <c r="C457" s="2" t="s">
        <v>33</v>
      </c>
      <c r="D457" s="2" t="s">
        <v>31</v>
      </c>
      <c r="E457" s="4"/>
      <c r="F457" s="4" t="str">
        <f>VLOOKUP($E457,Instructors!$A$2:$C693,3,FALSE)</f>
        <v>#N/A</v>
      </c>
      <c r="G457" s="4" t="str">
        <f t="shared" si="14"/>
        <v/>
      </c>
      <c r="H457" s="4" t="str">
        <f t="shared" si="3"/>
        <v/>
      </c>
      <c r="J457" s="4" t="b">
        <f t="shared" si="124"/>
        <v>0</v>
      </c>
      <c r="K457" s="2" t="b">
        <f t="shared" si="121"/>
        <v>0</v>
      </c>
      <c r="M457" s="4" t="b">
        <f t="shared" si="122"/>
        <v>0</v>
      </c>
      <c r="N457" s="4"/>
      <c r="O457" s="4"/>
      <c r="P457" s="4"/>
      <c r="Q457" s="4"/>
    </row>
    <row r="458">
      <c r="A458" s="2">
        <f t="shared" si="78"/>
        <v>17</v>
      </c>
      <c r="B458" s="3">
        <f t="shared" ref="B458:B461" si="158">B450+2</f>
        <v>46141</v>
      </c>
      <c r="C458" s="2" t="s">
        <v>45</v>
      </c>
      <c r="D458" s="2" t="s">
        <v>18</v>
      </c>
      <c r="E458" s="4"/>
      <c r="F458" s="4" t="str">
        <f>VLOOKUP($E458,Instructors!$A$2:$C693,3,FALSE)</f>
        <v>#N/A</v>
      </c>
      <c r="G458" s="4" t="str">
        <f t="shared" si="14"/>
        <v/>
      </c>
      <c r="H458" s="4" t="str">
        <f t="shared" si="3"/>
        <v/>
      </c>
      <c r="J458" s="4" t="b">
        <f t="shared" si="124"/>
        <v>0</v>
      </c>
      <c r="K458" s="2" t="b">
        <f t="shared" si="121"/>
        <v>0</v>
      </c>
      <c r="M458" s="4" t="b">
        <f t="shared" si="122"/>
        <v>0</v>
      </c>
      <c r="N458" s="4"/>
      <c r="O458" s="4"/>
      <c r="P458" s="4"/>
      <c r="Q458" s="4"/>
    </row>
    <row r="459">
      <c r="A459" s="2">
        <f t="shared" si="78"/>
        <v>17</v>
      </c>
      <c r="B459" s="3">
        <f t="shared" si="158"/>
        <v>46141</v>
      </c>
      <c r="C459" s="2" t="s">
        <v>45</v>
      </c>
      <c r="D459" s="2" t="s">
        <v>24</v>
      </c>
      <c r="E459" s="4"/>
      <c r="F459" s="4" t="str">
        <f>VLOOKUP($E459,Instructors!$A$2:$C693,3,FALSE)</f>
        <v>#N/A</v>
      </c>
      <c r="G459" s="4" t="str">
        <f t="shared" si="14"/>
        <v/>
      </c>
      <c r="H459" s="4" t="str">
        <f t="shared" si="3"/>
        <v/>
      </c>
      <c r="J459" s="4" t="b">
        <f t="shared" si="124"/>
        <v>0</v>
      </c>
      <c r="K459" s="2" t="b">
        <f t="shared" si="121"/>
        <v>0</v>
      </c>
      <c r="M459" s="4" t="b">
        <f t="shared" si="122"/>
        <v>0</v>
      </c>
      <c r="N459" s="4"/>
      <c r="O459" s="4"/>
      <c r="P459" s="4"/>
      <c r="Q459" s="4"/>
    </row>
    <row r="460">
      <c r="A460" s="2">
        <f t="shared" si="78"/>
        <v>17</v>
      </c>
      <c r="B460" s="3">
        <f t="shared" si="158"/>
        <v>46141</v>
      </c>
      <c r="C460" s="2" t="s">
        <v>45</v>
      </c>
      <c r="D460" s="2" t="s">
        <v>29</v>
      </c>
      <c r="E460" s="4"/>
      <c r="F460" s="4" t="str">
        <f>VLOOKUP($E460,Instructors!$A$2:$C693,3,FALSE)</f>
        <v>#N/A</v>
      </c>
      <c r="G460" s="4" t="str">
        <f t="shared" si="14"/>
        <v/>
      </c>
      <c r="H460" s="4" t="str">
        <f t="shared" si="3"/>
        <v/>
      </c>
      <c r="J460" s="4" t="b">
        <f t="shared" si="124"/>
        <v>0</v>
      </c>
      <c r="K460" s="2" t="b">
        <f t="shared" si="121"/>
        <v>0</v>
      </c>
      <c r="M460" s="4" t="b">
        <f t="shared" si="122"/>
        <v>0</v>
      </c>
      <c r="N460" s="4"/>
      <c r="O460" s="4"/>
      <c r="P460" s="4"/>
      <c r="Q460" s="4"/>
    </row>
    <row r="461">
      <c r="A461" s="2">
        <f t="shared" si="78"/>
        <v>17</v>
      </c>
      <c r="B461" s="3">
        <f t="shared" si="158"/>
        <v>46141</v>
      </c>
      <c r="C461" s="2" t="s">
        <v>45</v>
      </c>
      <c r="D461" s="2" t="s">
        <v>31</v>
      </c>
      <c r="E461" s="4"/>
      <c r="F461" s="4" t="str">
        <f>VLOOKUP($E461,Instructors!$A$2:$C693,3,FALSE)</f>
        <v>#N/A</v>
      </c>
      <c r="G461" s="4" t="str">
        <f t="shared" si="14"/>
        <v/>
      </c>
      <c r="H461" s="4" t="str">
        <f t="shared" si="3"/>
        <v/>
      </c>
      <c r="J461" s="4" t="b">
        <f t="shared" si="124"/>
        <v>0</v>
      </c>
      <c r="K461" s="2" t="b">
        <f t="shared" si="121"/>
        <v>0</v>
      </c>
      <c r="M461" s="4" t="b">
        <f t="shared" si="122"/>
        <v>0</v>
      </c>
      <c r="N461" s="4"/>
      <c r="O461" s="4"/>
      <c r="P461" s="4"/>
      <c r="Q461" s="4"/>
    </row>
    <row r="462">
      <c r="A462" s="2">
        <f t="shared" si="78"/>
        <v>17</v>
      </c>
      <c r="B462" s="3">
        <f t="shared" ref="B462:B465" si="159">B458+1</f>
        <v>46142</v>
      </c>
      <c r="C462" s="2" t="s">
        <v>57</v>
      </c>
      <c r="D462" s="2" t="s">
        <v>18</v>
      </c>
      <c r="E462" s="4"/>
      <c r="F462" s="4" t="str">
        <f>VLOOKUP($E462,Instructors!$A$2:$C693,3,FALSE)</f>
        <v>#N/A</v>
      </c>
      <c r="G462" s="4" t="str">
        <f t="shared" si="14"/>
        <v/>
      </c>
      <c r="H462" s="4" t="str">
        <f t="shared" si="3"/>
        <v/>
      </c>
      <c r="J462" s="4" t="b">
        <f t="shared" si="124"/>
        <v>0</v>
      </c>
      <c r="K462" s="2" t="b">
        <f t="shared" si="121"/>
        <v>0</v>
      </c>
      <c r="M462" s="4" t="b">
        <f t="shared" si="122"/>
        <v>0</v>
      </c>
      <c r="N462" s="4"/>
      <c r="O462" s="4"/>
      <c r="P462" s="4"/>
      <c r="Q462" s="4"/>
    </row>
    <row r="463">
      <c r="A463" s="2">
        <f t="shared" si="78"/>
        <v>17</v>
      </c>
      <c r="B463" s="3">
        <f t="shared" si="159"/>
        <v>46142</v>
      </c>
      <c r="C463" s="2" t="s">
        <v>57</v>
      </c>
      <c r="D463" s="2" t="s">
        <v>24</v>
      </c>
      <c r="E463" s="4"/>
      <c r="F463" s="4" t="str">
        <f>VLOOKUP($E463,Instructors!$A$2:$C693,3,FALSE)</f>
        <v>#N/A</v>
      </c>
      <c r="G463" s="4" t="str">
        <f t="shared" si="14"/>
        <v/>
      </c>
      <c r="H463" s="4" t="str">
        <f t="shared" si="3"/>
        <v/>
      </c>
      <c r="J463" s="4" t="b">
        <f t="shared" si="124"/>
        <v>0</v>
      </c>
      <c r="K463" s="2" t="b">
        <f t="shared" si="121"/>
        <v>0</v>
      </c>
      <c r="M463" s="4" t="b">
        <f t="shared" si="122"/>
        <v>0</v>
      </c>
      <c r="N463" s="4"/>
      <c r="O463" s="4"/>
      <c r="P463" s="4"/>
      <c r="Q463" s="4"/>
    </row>
    <row r="464">
      <c r="A464" s="2">
        <f t="shared" si="78"/>
        <v>17</v>
      </c>
      <c r="B464" s="3">
        <f t="shared" si="159"/>
        <v>46142</v>
      </c>
      <c r="C464" s="2" t="s">
        <v>57</v>
      </c>
      <c r="D464" s="2" t="s">
        <v>29</v>
      </c>
      <c r="E464" s="4"/>
      <c r="F464" s="4" t="str">
        <f>VLOOKUP($E464,Instructors!$A$2:$C693,3,FALSE)</f>
        <v>#N/A</v>
      </c>
      <c r="G464" s="4" t="str">
        <f t="shared" si="14"/>
        <v/>
      </c>
      <c r="H464" s="4" t="str">
        <f t="shared" si="3"/>
        <v/>
      </c>
      <c r="J464" s="4" t="b">
        <f t="shared" si="124"/>
        <v>0</v>
      </c>
      <c r="K464" s="2" t="b">
        <f t="shared" si="121"/>
        <v>0</v>
      </c>
      <c r="M464" s="4" t="b">
        <f t="shared" si="122"/>
        <v>0</v>
      </c>
      <c r="N464" s="4"/>
      <c r="O464" s="4"/>
      <c r="P464" s="4"/>
      <c r="Q464" s="4"/>
    </row>
    <row r="465">
      <c r="A465" s="2">
        <f t="shared" si="78"/>
        <v>17</v>
      </c>
      <c r="B465" s="3">
        <f t="shared" si="159"/>
        <v>46142</v>
      </c>
      <c r="C465" s="2" t="s">
        <v>57</v>
      </c>
      <c r="D465" s="2" t="s">
        <v>31</v>
      </c>
      <c r="E465" s="4"/>
      <c r="F465" s="4" t="str">
        <f>VLOOKUP($E465,Instructors!$A$2:$C693,3,FALSE)</f>
        <v>#N/A</v>
      </c>
      <c r="G465" s="4" t="str">
        <f t="shared" si="14"/>
        <v/>
      </c>
      <c r="H465" s="4" t="str">
        <f t="shared" si="3"/>
        <v/>
      </c>
      <c r="J465" s="4" t="b">
        <f t="shared" si="124"/>
        <v>0</v>
      </c>
      <c r="K465" s="2" t="b">
        <f t="shared" si="121"/>
        <v>0</v>
      </c>
      <c r="M465" s="4" t="b">
        <f t="shared" si="122"/>
        <v>0</v>
      </c>
      <c r="N465" s="4"/>
      <c r="O465" s="4"/>
      <c r="P465" s="4"/>
      <c r="Q465" s="4"/>
    </row>
    <row r="466">
      <c r="A466" s="2">
        <f t="shared" si="78"/>
        <v>17</v>
      </c>
      <c r="B466" s="3">
        <f t="shared" ref="B466:B469" si="160">B458+2</f>
        <v>46143</v>
      </c>
      <c r="C466" s="2" t="s">
        <v>73</v>
      </c>
      <c r="D466" s="2" t="s">
        <v>18</v>
      </c>
      <c r="E466" s="4"/>
      <c r="F466" s="4" t="str">
        <f>VLOOKUP($E466,Instructors!$A$2:$C693,3,FALSE)</f>
        <v>#N/A</v>
      </c>
      <c r="G466" s="4" t="str">
        <f t="shared" si="14"/>
        <v/>
      </c>
      <c r="H466" s="4" t="str">
        <f t="shared" si="3"/>
        <v/>
      </c>
      <c r="J466" s="4" t="b">
        <f t="shared" si="124"/>
        <v>0</v>
      </c>
      <c r="K466" s="2" t="b">
        <f t="shared" si="121"/>
        <v>0</v>
      </c>
      <c r="M466" s="4" t="b">
        <f t="shared" si="122"/>
        <v>0</v>
      </c>
      <c r="N466" s="4"/>
      <c r="O466" s="4"/>
      <c r="P466" s="4"/>
      <c r="Q466" s="4"/>
    </row>
    <row r="467">
      <c r="A467" s="2">
        <f t="shared" si="78"/>
        <v>17</v>
      </c>
      <c r="B467" s="3">
        <f t="shared" si="160"/>
        <v>46143</v>
      </c>
      <c r="C467" s="2" t="s">
        <v>73</v>
      </c>
      <c r="D467" s="2" t="s">
        <v>24</v>
      </c>
      <c r="E467" s="4"/>
      <c r="F467" s="4" t="str">
        <f>VLOOKUP($E467,Instructors!$A$2:$C693,3,FALSE)</f>
        <v>#N/A</v>
      </c>
      <c r="G467" s="4" t="str">
        <f t="shared" si="14"/>
        <v/>
      </c>
      <c r="H467" s="4" t="str">
        <f t="shared" si="3"/>
        <v/>
      </c>
      <c r="J467" s="4" t="b">
        <f t="shared" si="124"/>
        <v>0</v>
      </c>
      <c r="K467" s="2" t="b">
        <f t="shared" si="121"/>
        <v>0</v>
      </c>
      <c r="M467" s="4" t="b">
        <f t="shared" si="122"/>
        <v>0</v>
      </c>
      <c r="N467" s="4"/>
      <c r="O467" s="4"/>
      <c r="P467" s="4"/>
      <c r="Q467" s="4"/>
    </row>
    <row r="468">
      <c r="A468" s="2">
        <f t="shared" si="78"/>
        <v>17</v>
      </c>
      <c r="B468" s="3">
        <f t="shared" si="160"/>
        <v>46143</v>
      </c>
      <c r="C468" s="2" t="s">
        <v>73</v>
      </c>
      <c r="D468" s="2" t="s">
        <v>29</v>
      </c>
      <c r="E468" s="4"/>
      <c r="F468" s="4" t="str">
        <f>VLOOKUP($E468,Instructors!$A$2:$C693,3,FALSE)</f>
        <v>#N/A</v>
      </c>
      <c r="G468" s="4" t="str">
        <f t="shared" si="14"/>
        <v/>
      </c>
      <c r="H468" s="4" t="str">
        <f t="shared" si="3"/>
        <v/>
      </c>
      <c r="J468" s="4" t="b">
        <f t="shared" si="124"/>
        <v>0</v>
      </c>
      <c r="K468" s="2" t="b">
        <f t="shared" si="121"/>
        <v>0</v>
      </c>
      <c r="M468" s="4" t="b">
        <f t="shared" si="122"/>
        <v>0</v>
      </c>
      <c r="N468" s="4"/>
      <c r="O468" s="4"/>
      <c r="P468" s="4"/>
      <c r="Q468" s="4"/>
    </row>
    <row r="469">
      <c r="A469" s="2">
        <f t="shared" si="78"/>
        <v>17</v>
      </c>
      <c r="B469" s="3">
        <f t="shared" si="160"/>
        <v>46143</v>
      </c>
      <c r="C469" s="2" t="s">
        <v>73</v>
      </c>
      <c r="D469" s="2" t="s">
        <v>31</v>
      </c>
      <c r="E469" s="4"/>
      <c r="F469" s="4" t="str">
        <f>VLOOKUP($E469,Instructors!$A$2:$C693,3,FALSE)</f>
        <v>#N/A</v>
      </c>
      <c r="G469" s="4" t="str">
        <f t="shared" si="14"/>
        <v/>
      </c>
      <c r="H469" s="4" t="str">
        <f t="shared" si="3"/>
        <v/>
      </c>
      <c r="J469" s="4" t="b">
        <f t="shared" si="124"/>
        <v>0</v>
      </c>
      <c r="K469" s="2" t="b">
        <f t="shared" si="121"/>
        <v>0</v>
      </c>
      <c r="M469" s="4" t="b">
        <f t="shared" si="122"/>
        <v>0</v>
      </c>
      <c r="N469" s="4"/>
      <c r="O469" s="4"/>
      <c r="P469" s="4"/>
      <c r="Q469" s="4"/>
    </row>
    <row r="470">
      <c r="A470" s="2">
        <f t="shared" si="78"/>
        <v>17</v>
      </c>
      <c r="B470" s="3">
        <f t="shared" ref="B470:B473" si="161">B466+1</f>
        <v>46144</v>
      </c>
      <c r="C470" s="2" t="s">
        <v>86</v>
      </c>
      <c r="D470" s="2" t="s">
        <v>18</v>
      </c>
      <c r="E470" s="4"/>
      <c r="F470" s="4" t="str">
        <f>VLOOKUP($E470,Instructors!$A$2:$C693,3,FALSE)</f>
        <v>#N/A</v>
      </c>
      <c r="G470" s="4" t="str">
        <f t="shared" si="14"/>
        <v/>
      </c>
      <c r="H470" s="4" t="str">
        <f t="shared" si="3"/>
        <v/>
      </c>
      <c r="J470" s="4" t="b">
        <f t="shared" si="124"/>
        <v>0</v>
      </c>
      <c r="K470" s="2" t="b">
        <f t="shared" si="121"/>
        <v>0</v>
      </c>
      <c r="M470" s="4" t="b">
        <f t="shared" si="122"/>
        <v>0</v>
      </c>
      <c r="N470" s="4"/>
      <c r="O470" s="4"/>
      <c r="P470" s="4"/>
      <c r="Q470" s="4"/>
    </row>
    <row r="471">
      <c r="A471" s="2">
        <f t="shared" si="78"/>
        <v>17</v>
      </c>
      <c r="B471" s="3">
        <f t="shared" si="161"/>
        <v>46144</v>
      </c>
      <c r="C471" s="2" t="s">
        <v>86</v>
      </c>
      <c r="D471" s="2" t="s">
        <v>24</v>
      </c>
      <c r="E471" s="4"/>
      <c r="F471" s="4" t="str">
        <f>VLOOKUP($E471,Instructors!$A$2:$C693,3,FALSE)</f>
        <v>#N/A</v>
      </c>
      <c r="G471" s="4" t="str">
        <f t="shared" si="14"/>
        <v/>
      </c>
      <c r="H471" s="4" t="str">
        <f t="shared" si="3"/>
        <v/>
      </c>
      <c r="J471" s="4" t="b">
        <f t="shared" si="124"/>
        <v>0</v>
      </c>
      <c r="K471" s="2" t="b">
        <f t="shared" si="121"/>
        <v>0</v>
      </c>
      <c r="M471" s="4" t="b">
        <f t="shared" si="122"/>
        <v>0</v>
      </c>
      <c r="N471" s="4"/>
      <c r="O471" s="4"/>
      <c r="P471" s="4"/>
      <c r="Q471" s="4"/>
    </row>
    <row r="472">
      <c r="A472" s="2">
        <f t="shared" si="78"/>
        <v>17</v>
      </c>
      <c r="B472" s="3">
        <f t="shared" si="161"/>
        <v>46144</v>
      </c>
      <c r="C472" s="2" t="s">
        <v>86</v>
      </c>
      <c r="D472" s="2" t="s">
        <v>29</v>
      </c>
      <c r="E472" s="4"/>
      <c r="F472" s="4" t="str">
        <f>VLOOKUP($E472,Instructors!$A$2:$C693,3,FALSE)</f>
        <v>#N/A</v>
      </c>
      <c r="G472" s="4" t="str">
        <f t="shared" si="14"/>
        <v/>
      </c>
      <c r="H472" s="4" t="str">
        <f t="shared" si="3"/>
        <v/>
      </c>
      <c r="J472" s="4" t="b">
        <f t="shared" si="124"/>
        <v>0</v>
      </c>
      <c r="K472" s="2" t="b">
        <f t="shared" si="121"/>
        <v>0</v>
      </c>
      <c r="M472" s="4" t="b">
        <f t="shared" si="122"/>
        <v>0</v>
      </c>
      <c r="N472" s="4"/>
      <c r="O472" s="4"/>
      <c r="P472" s="4"/>
      <c r="Q472" s="4"/>
    </row>
    <row r="473">
      <c r="A473" s="2">
        <f t="shared" si="78"/>
        <v>17</v>
      </c>
      <c r="B473" s="3">
        <f t="shared" si="161"/>
        <v>46144</v>
      </c>
      <c r="C473" s="2" t="s">
        <v>86</v>
      </c>
      <c r="D473" s="2" t="s">
        <v>31</v>
      </c>
      <c r="E473" s="4"/>
      <c r="F473" s="4" t="str">
        <f>VLOOKUP($E473,Instructors!$A$2:$C693,3,FALSE)</f>
        <v>#N/A</v>
      </c>
      <c r="G473" s="4" t="str">
        <f t="shared" si="14"/>
        <v/>
      </c>
      <c r="H473" s="4" t="str">
        <f t="shared" si="3"/>
        <v/>
      </c>
      <c r="J473" s="4" t="b">
        <f t="shared" si="124"/>
        <v>0</v>
      </c>
      <c r="K473" s="2" t="b">
        <f t="shared" si="121"/>
        <v>0</v>
      </c>
      <c r="M473" s="4" t="b">
        <f t="shared" si="122"/>
        <v>0</v>
      </c>
      <c r="N473" s="4"/>
      <c r="O473" s="4"/>
      <c r="P473" s="4"/>
      <c r="Q473" s="4"/>
    </row>
    <row r="474">
      <c r="A474" s="2">
        <f t="shared" si="78"/>
        <v>17</v>
      </c>
      <c r="B474" s="3">
        <f t="shared" ref="B474:B481" si="162">B466+2</f>
        <v>46145</v>
      </c>
      <c r="C474" s="2" t="s">
        <v>93</v>
      </c>
      <c r="D474" s="2" t="s">
        <v>18</v>
      </c>
      <c r="E474" s="4"/>
      <c r="F474" s="4" t="str">
        <f>VLOOKUP($E474,Instructors!$A$2:$C693,3,FALSE)</f>
        <v>#N/A</v>
      </c>
      <c r="G474" s="4" t="str">
        <f t="shared" si="14"/>
        <v/>
      </c>
      <c r="H474" s="4" t="str">
        <f t="shared" si="3"/>
        <v/>
      </c>
      <c r="J474" s="4" t="b">
        <f t="shared" si="124"/>
        <v>0</v>
      </c>
      <c r="K474" s="2" t="b">
        <f t="shared" si="121"/>
        <v>0</v>
      </c>
      <c r="M474" s="4" t="b">
        <f t="shared" si="122"/>
        <v>0</v>
      </c>
      <c r="N474" s="4"/>
      <c r="O474" s="4"/>
      <c r="P474" s="4"/>
      <c r="Q474" s="4"/>
    </row>
    <row r="475">
      <c r="A475" s="2">
        <f t="shared" si="78"/>
        <v>17</v>
      </c>
      <c r="B475" s="3">
        <f t="shared" si="162"/>
        <v>46145</v>
      </c>
      <c r="C475" s="2" t="s">
        <v>93</v>
      </c>
      <c r="D475" s="2" t="s">
        <v>24</v>
      </c>
      <c r="E475" s="4"/>
      <c r="F475" s="4" t="str">
        <f>VLOOKUP($E475,Instructors!$A$2:$C693,3,FALSE)</f>
        <v>#N/A</v>
      </c>
      <c r="G475" s="4" t="str">
        <f t="shared" si="14"/>
        <v/>
      </c>
      <c r="H475" s="4" t="str">
        <f t="shared" si="3"/>
        <v/>
      </c>
      <c r="J475" s="4" t="b">
        <f t="shared" si="124"/>
        <v>0</v>
      </c>
      <c r="K475" s="2" t="b">
        <f t="shared" si="121"/>
        <v>0</v>
      </c>
      <c r="M475" s="4" t="b">
        <f t="shared" si="122"/>
        <v>0</v>
      </c>
      <c r="N475" s="4"/>
      <c r="O475" s="4"/>
      <c r="P475" s="4"/>
      <c r="Q475" s="4"/>
    </row>
    <row r="476">
      <c r="A476" s="2">
        <f t="shared" si="78"/>
        <v>17</v>
      </c>
      <c r="B476" s="3">
        <f t="shared" si="162"/>
        <v>46145</v>
      </c>
      <c r="C476" s="2" t="s">
        <v>93</v>
      </c>
      <c r="D476" s="2" t="s">
        <v>29</v>
      </c>
      <c r="E476" s="4"/>
      <c r="F476" s="4" t="str">
        <f>VLOOKUP($E476,Instructors!$A$2:$C693,3,FALSE)</f>
        <v>#N/A</v>
      </c>
      <c r="G476" s="4" t="str">
        <f t="shared" si="14"/>
        <v/>
      </c>
      <c r="H476" s="4" t="str">
        <f t="shared" si="3"/>
        <v/>
      </c>
      <c r="J476" s="4" t="b">
        <f t="shared" si="124"/>
        <v>0</v>
      </c>
      <c r="K476" s="2" t="b">
        <f t="shared" si="121"/>
        <v>0</v>
      </c>
      <c r="M476" s="4" t="b">
        <f t="shared" si="122"/>
        <v>0</v>
      </c>
      <c r="N476" s="4"/>
      <c r="O476" s="4"/>
      <c r="P476" s="4"/>
      <c r="Q476" s="4"/>
    </row>
    <row r="477">
      <c r="A477" s="2">
        <f t="shared" si="78"/>
        <v>17</v>
      </c>
      <c r="B477" s="3">
        <f t="shared" si="162"/>
        <v>46145</v>
      </c>
      <c r="C477" s="2" t="s">
        <v>93</v>
      </c>
      <c r="D477" s="2" t="s">
        <v>31</v>
      </c>
      <c r="E477" s="4"/>
      <c r="F477" s="4" t="str">
        <f>VLOOKUP($E477,Instructors!$A$2:$C693,3,FALSE)</f>
        <v>#N/A</v>
      </c>
      <c r="G477" s="4" t="str">
        <f t="shared" si="14"/>
        <v/>
      </c>
      <c r="H477" s="4" t="str">
        <f t="shared" si="3"/>
        <v/>
      </c>
      <c r="J477" s="4" t="b">
        <f t="shared" si="124"/>
        <v>0</v>
      </c>
      <c r="K477" s="2" t="b">
        <f t="shared" si="121"/>
        <v>0</v>
      </c>
      <c r="M477" s="4" t="b">
        <f t="shared" si="122"/>
        <v>0</v>
      </c>
      <c r="N477" s="4"/>
      <c r="O477" s="4"/>
      <c r="P477" s="4"/>
      <c r="Q477" s="4"/>
    </row>
    <row r="478">
      <c r="A478" s="2">
        <f t="shared" si="78"/>
        <v>18</v>
      </c>
      <c r="B478" s="3">
        <f t="shared" si="162"/>
        <v>46146</v>
      </c>
      <c r="C478" s="2" t="s">
        <v>17</v>
      </c>
      <c r="D478" s="2" t="s">
        <v>18</v>
      </c>
      <c r="E478" s="4"/>
      <c r="F478" s="4" t="str">
        <f>VLOOKUP($E478,Instructors!$A$2:$C693,3,FALSE)</f>
        <v>#N/A</v>
      </c>
      <c r="G478" s="4" t="str">
        <f t="shared" si="14"/>
        <v/>
      </c>
      <c r="H478" s="4" t="str">
        <f t="shared" si="3"/>
        <v/>
      </c>
      <c r="J478" s="4" t="b">
        <f t="shared" si="124"/>
        <v>0</v>
      </c>
      <c r="K478" s="2" t="b">
        <f t="shared" si="121"/>
        <v>0</v>
      </c>
      <c r="M478" s="4" t="b">
        <f t="shared" si="122"/>
        <v>0</v>
      </c>
      <c r="N478" s="4"/>
      <c r="O478" s="4"/>
      <c r="P478" s="4"/>
      <c r="Q478" s="4"/>
    </row>
    <row r="479">
      <c r="A479" s="2">
        <f t="shared" si="78"/>
        <v>18</v>
      </c>
      <c r="B479" s="3">
        <f t="shared" si="162"/>
        <v>46146</v>
      </c>
      <c r="C479" s="2" t="s">
        <v>17</v>
      </c>
      <c r="D479" s="2" t="s">
        <v>24</v>
      </c>
      <c r="E479" s="4"/>
      <c r="F479" s="4" t="str">
        <f>VLOOKUP($E479,Instructors!$A$2:$C693,3,FALSE)</f>
        <v>#N/A</v>
      </c>
      <c r="G479" s="4" t="str">
        <f t="shared" si="14"/>
        <v/>
      </c>
      <c r="H479" s="4" t="str">
        <f t="shared" si="3"/>
        <v/>
      </c>
      <c r="J479" s="4" t="b">
        <f t="shared" si="124"/>
        <v>0</v>
      </c>
      <c r="K479" s="2" t="b">
        <f t="shared" si="121"/>
        <v>0</v>
      </c>
      <c r="M479" s="4" t="b">
        <f t="shared" si="122"/>
        <v>0</v>
      </c>
      <c r="N479" s="4"/>
      <c r="O479" s="4"/>
      <c r="P479" s="4"/>
      <c r="Q479" s="4"/>
    </row>
    <row r="480">
      <c r="A480" s="2">
        <f t="shared" si="78"/>
        <v>18</v>
      </c>
      <c r="B480" s="3">
        <f t="shared" si="162"/>
        <v>46146</v>
      </c>
      <c r="C480" s="2" t="s">
        <v>17</v>
      </c>
      <c r="D480" s="2" t="s">
        <v>29</v>
      </c>
      <c r="E480" s="4"/>
      <c r="F480" s="4" t="str">
        <f>VLOOKUP($E480,Instructors!$A$2:$C693,3,FALSE)</f>
        <v>#N/A</v>
      </c>
      <c r="G480" s="4" t="str">
        <f t="shared" si="14"/>
        <v/>
      </c>
      <c r="H480" s="4" t="str">
        <f t="shared" si="3"/>
        <v/>
      </c>
      <c r="J480" s="4" t="b">
        <f t="shared" si="124"/>
        <v>0</v>
      </c>
      <c r="K480" s="2" t="b">
        <f t="shared" si="121"/>
        <v>0</v>
      </c>
      <c r="M480" s="4" t="b">
        <f t="shared" si="122"/>
        <v>0</v>
      </c>
      <c r="N480" s="4"/>
      <c r="O480" s="4"/>
      <c r="P480" s="4"/>
      <c r="Q480" s="4"/>
    </row>
    <row r="481">
      <c r="A481" s="2">
        <f t="shared" si="78"/>
        <v>18</v>
      </c>
      <c r="B481" s="3">
        <f t="shared" si="162"/>
        <v>46146</v>
      </c>
      <c r="C481" s="2" t="s">
        <v>17</v>
      </c>
      <c r="D481" s="2" t="s">
        <v>31</v>
      </c>
      <c r="E481" s="4"/>
      <c r="F481" s="4" t="str">
        <f>VLOOKUP($E481,Instructors!$A$2:$C693,3,FALSE)</f>
        <v>#N/A</v>
      </c>
      <c r="G481" s="4" t="str">
        <f t="shared" si="14"/>
        <v/>
      </c>
      <c r="H481" s="4" t="str">
        <f t="shared" si="3"/>
        <v/>
      </c>
      <c r="J481" s="4" t="b">
        <f t="shared" si="124"/>
        <v>0</v>
      </c>
      <c r="K481" s="2" t="b">
        <f t="shared" si="121"/>
        <v>0</v>
      </c>
      <c r="M481" s="4" t="b">
        <f t="shared" si="122"/>
        <v>0</v>
      </c>
      <c r="N481" s="4"/>
      <c r="O481" s="4"/>
      <c r="P481" s="4"/>
      <c r="Q481" s="4"/>
    </row>
    <row r="482">
      <c r="A482" s="2">
        <f t="shared" si="78"/>
        <v>18</v>
      </c>
      <c r="B482" s="3">
        <f t="shared" ref="B482:B485" si="163">B478+1</f>
        <v>46147</v>
      </c>
      <c r="C482" s="2" t="s">
        <v>33</v>
      </c>
      <c r="D482" s="2" t="s">
        <v>18</v>
      </c>
      <c r="E482" s="4"/>
      <c r="F482" s="4" t="str">
        <f>VLOOKUP($E482,Instructors!$A$2:$C693,3,FALSE)</f>
        <v>#N/A</v>
      </c>
      <c r="G482" s="4" t="str">
        <f t="shared" si="14"/>
        <v/>
      </c>
      <c r="H482" s="4" t="str">
        <f t="shared" si="3"/>
        <v/>
      </c>
      <c r="J482" s="4" t="b">
        <f t="shared" si="124"/>
        <v>0</v>
      </c>
      <c r="K482" s="2" t="b">
        <f t="shared" si="121"/>
        <v>0</v>
      </c>
      <c r="M482" s="4" t="b">
        <f t="shared" si="122"/>
        <v>0</v>
      </c>
      <c r="N482" s="4"/>
      <c r="O482" s="4"/>
      <c r="P482" s="4"/>
      <c r="Q482" s="4"/>
    </row>
    <row r="483">
      <c r="A483" s="2">
        <f t="shared" si="78"/>
        <v>18</v>
      </c>
      <c r="B483" s="3">
        <f t="shared" si="163"/>
        <v>46147</v>
      </c>
      <c r="C483" s="2" t="s">
        <v>33</v>
      </c>
      <c r="D483" s="2" t="s">
        <v>24</v>
      </c>
      <c r="E483" s="4"/>
      <c r="F483" s="4" t="str">
        <f>VLOOKUP($E483,Instructors!$A$2:$C693,3,FALSE)</f>
        <v>#N/A</v>
      </c>
      <c r="G483" s="4" t="str">
        <f t="shared" si="14"/>
        <v/>
      </c>
      <c r="H483" s="4" t="str">
        <f t="shared" si="3"/>
        <v/>
      </c>
      <c r="J483" s="4" t="b">
        <f t="shared" si="124"/>
        <v>0</v>
      </c>
      <c r="K483" s="2" t="b">
        <f t="shared" si="121"/>
        <v>0</v>
      </c>
      <c r="M483" s="4" t="b">
        <f t="shared" si="122"/>
        <v>0</v>
      </c>
      <c r="N483" s="4"/>
      <c r="O483" s="4"/>
      <c r="P483" s="4"/>
      <c r="Q483" s="4"/>
    </row>
    <row r="484">
      <c r="A484" s="2">
        <f t="shared" si="78"/>
        <v>18</v>
      </c>
      <c r="B484" s="3">
        <f t="shared" si="163"/>
        <v>46147</v>
      </c>
      <c r="C484" s="2" t="s">
        <v>33</v>
      </c>
      <c r="D484" s="2" t="s">
        <v>29</v>
      </c>
      <c r="E484" s="4"/>
      <c r="F484" s="4" t="str">
        <f>VLOOKUP($E484,Instructors!$A$2:$C693,3,FALSE)</f>
        <v>#N/A</v>
      </c>
      <c r="G484" s="4" t="str">
        <f t="shared" si="14"/>
        <v/>
      </c>
      <c r="H484" s="4" t="str">
        <f t="shared" si="3"/>
        <v/>
      </c>
      <c r="J484" s="4" t="b">
        <f t="shared" si="124"/>
        <v>0</v>
      </c>
      <c r="K484" s="2" t="b">
        <f t="shared" si="121"/>
        <v>0</v>
      </c>
      <c r="M484" s="4" t="b">
        <f t="shared" si="122"/>
        <v>0</v>
      </c>
      <c r="N484" s="4"/>
      <c r="O484" s="4"/>
      <c r="P484" s="4"/>
      <c r="Q484" s="4"/>
    </row>
    <row r="485">
      <c r="A485" s="2">
        <f t="shared" si="78"/>
        <v>18</v>
      </c>
      <c r="B485" s="3">
        <f t="shared" si="163"/>
        <v>46147</v>
      </c>
      <c r="C485" s="2" t="s">
        <v>33</v>
      </c>
      <c r="D485" s="2" t="s">
        <v>31</v>
      </c>
      <c r="E485" s="4"/>
      <c r="F485" s="4" t="str">
        <f>VLOOKUP($E485,Instructors!$A$2:$C693,3,FALSE)</f>
        <v>#N/A</v>
      </c>
      <c r="G485" s="4" t="str">
        <f t="shared" si="14"/>
        <v/>
      </c>
      <c r="H485" s="4" t="str">
        <f t="shared" si="3"/>
        <v/>
      </c>
      <c r="J485" s="4" t="b">
        <f t="shared" si="124"/>
        <v>0</v>
      </c>
      <c r="K485" s="2" t="b">
        <f t="shared" si="121"/>
        <v>0</v>
      </c>
      <c r="M485" s="4" t="b">
        <f t="shared" si="122"/>
        <v>0</v>
      </c>
      <c r="N485" s="4"/>
      <c r="O485" s="4"/>
      <c r="P485" s="4"/>
      <c r="Q485" s="4"/>
    </row>
    <row r="486">
      <c r="A486" s="2">
        <f t="shared" si="78"/>
        <v>18</v>
      </c>
      <c r="B486" s="3">
        <f t="shared" ref="B486:B489" si="164">B478+2</f>
        <v>46148</v>
      </c>
      <c r="C486" s="2" t="s">
        <v>45</v>
      </c>
      <c r="D486" s="2" t="s">
        <v>18</v>
      </c>
      <c r="E486" s="4"/>
      <c r="F486" s="4" t="str">
        <f>VLOOKUP($E486,Instructors!$A$2:$C693,3,FALSE)</f>
        <v>#N/A</v>
      </c>
      <c r="G486" s="4" t="str">
        <f t="shared" si="14"/>
        <v/>
      </c>
      <c r="H486" s="4" t="str">
        <f t="shared" si="3"/>
        <v/>
      </c>
      <c r="J486" s="4" t="b">
        <f t="shared" si="124"/>
        <v>0</v>
      </c>
      <c r="K486" s="2" t="b">
        <f t="shared" si="121"/>
        <v>0</v>
      </c>
      <c r="M486" s="4" t="b">
        <f t="shared" si="122"/>
        <v>0</v>
      </c>
      <c r="N486" s="4"/>
      <c r="O486" s="4"/>
      <c r="P486" s="4"/>
      <c r="Q486" s="4"/>
    </row>
    <row r="487">
      <c r="A487" s="2">
        <f t="shared" si="78"/>
        <v>18</v>
      </c>
      <c r="B487" s="3">
        <f t="shared" si="164"/>
        <v>46148</v>
      </c>
      <c r="C487" s="2" t="s">
        <v>45</v>
      </c>
      <c r="D487" s="2" t="s">
        <v>24</v>
      </c>
      <c r="E487" s="4"/>
      <c r="F487" s="4" t="str">
        <f>VLOOKUP($E487,Instructors!$A$2:$C693,3,FALSE)</f>
        <v>#N/A</v>
      </c>
      <c r="G487" s="4" t="str">
        <f t="shared" si="14"/>
        <v/>
      </c>
      <c r="H487" s="4" t="str">
        <f t="shared" si="3"/>
        <v/>
      </c>
      <c r="J487" s="4" t="b">
        <f t="shared" si="124"/>
        <v>0</v>
      </c>
      <c r="K487" s="2" t="b">
        <f t="shared" si="121"/>
        <v>0</v>
      </c>
      <c r="M487" s="4" t="b">
        <f t="shared" si="122"/>
        <v>0</v>
      </c>
      <c r="N487" s="4"/>
      <c r="O487" s="4"/>
      <c r="P487" s="4"/>
      <c r="Q487" s="4"/>
    </row>
    <row r="488">
      <c r="A488" s="2">
        <f t="shared" si="78"/>
        <v>18</v>
      </c>
      <c r="B488" s="3">
        <f t="shared" si="164"/>
        <v>46148</v>
      </c>
      <c r="C488" s="2" t="s">
        <v>45</v>
      </c>
      <c r="D488" s="2" t="s">
        <v>29</v>
      </c>
      <c r="E488" s="4"/>
      <c r="F488" s="4" t="str">
        <f>VLOOKUP($E488,Instructors!$A$2:$C693,3,FALSE)</f>
        <v>#N/A</v>
      </c>
      <c r="G488" s="4" t="str">
        <f t="shared" si="14"/>
        <v/>
      </c>
      <c r="H488" s="4" t="str">
        <f t="shared" si="3"/>
        <v/>
      </c>
      <c r="J488" s="4" t="b">
        <f t="shared" si="124"/>
        <v>0</v>
      </c>
      <c r="K488" s="2" t="b">
        <f t="shared" si="121"/>
        <v>0</v>
      </c>
      <c r="M488" s="4" t="b">
        <f t="shared" si="122"/>
        <v>0</v>
      </c>
      <c r="N488" s="4"/>
      <c r="O488" s="4"/>
      <c r="P488" s="4"/>
      <c r="Q488" s="4"/>
    </row>
    <row r="489">
      <c r="A489" s="2">
        <f t="shared" si="78"/>
        <v>18</v>
      </c>
      <c r="B489" s="3">
        <f t="shared" si="164"/>
        <v>46148</v>
      </c>
      <c r="C489" s="2" t="s">
        <v>45</v>
      </c>
      <c r="D489" s="2" t="s">
        <v>31</v>
      </c>
      <c r="E489" s="4"/>
      <c r="F489" s="4" t="str">
        <f>VLOOKUP($E489,Instructors!$A$2:$C693,3,FALSE)</f>
        <v>#N/A</v>
      </c>
      <c r="G489" s="4" t="str">
        <f t="shared" si="14"/>
        <v/>
      </c>
      <c r="H489" s="4" t="str">
        <f t="shared" si="3"/>
        <v/>
      </c>
      <c r="J489" s="4" t="b">
        <f t="shared" si="124"/>
        <v>0</v>
      </c>
      <c r="K489" s="2" t="b">
        <f t="shared" si="121"/>
        <v>0</v>
      </c>
      <c r="M489" s="4" t="b">
        <f t="shared" si="122"/>
        <v>0</v>
      </c>
      <c r="N489" s="4"/>
      <c r="O489" s="4"/>
      <c r="P489" s="4"/>
      <c r="Q489" s="4"/>
    </row>
    <row r="490">
      <c r="A490" s="2">
        <f t="shared" si="78"/>
        <v>18</v>
      </c>
      <c r="B490" s="3">
        <f t="shared" ref="B490:B493" si="165">B486+1</f>
        <v>46149</v>
      </c>
      <c r="C490" s="2" t="s">
        <v>57</v>
      </c>
      <c r="D490" s="2" t="s">
        <v>18</v>
      </c>
      <c r="E490" s="4"/>
      <c r="F490" s="4" t="str">
        <f>VLOOKUP($E490,Instructors!$A$2:$C693,3,FALSE)</f>
        <v>#N/A</v>
      </c>
      <c r="G490" s="4" t="str">
        <f t="shared" si="14"/>
        <v/>
      </c>
      <c r="H490" s="4" t="str">
        <f t="shared" si="3"/>
        <v/>
      </c>
      <c r="J490" s="4" t="b">
        <f t="shared" si="124"/>
        <v>0</v>
      </c>
      <c r="K490" s="2" t="b">
        <f t="shared" si="121"/>
        <v>0</v>
      </c>
      <c r="M490" s="4" t="b">
        <f t="shared" si="122"/>
        <v>0</v>
      </c>
      <c r="N490" s="4"/>
      <c r="O490" s="4"/>
      <c r="P490" s="4"/>
      <c r="Q490" s="4"/>
    </row>
    <row r="491">
      <c r="A491" s="2">
        <f t="shared" si="78"/>
        <v>18</v>
      </c>
      <c r="B491" s="3">
        <f t="shared" si="165"/>
        <v>46149</v>
      </c>
      <c r="C491" s="2" t="s">
        <v>57</v>
      </c>
      <c r="D491" s="2" t="s">
        <v>24</v>
      </c>
      <c r="E491" s="4"/>
      <c r="F491" s="4" t="str">
        <f>VLOOKUP($E491,Instructors!$A$2:$C693,3,FALSE)</f>
        <v>#N/A</v>
      </c>
      <c r="G491" s="4" t="str">
        <f t="shared" si="14"/>
        <v/>
      </c>
      <c r="H491" s="4" t="str">
        <f t="shared" si="3"/>
        <v/>
      </c>
      <c r="J491" s="4" t="b">
        <f t="shared" si="124"/>
        <v>0</v>
      </c>
      <c r="K491" s="2" t="b">
        <f t="shared" si="121"/>
        <v>0</v>
      </c>
      <c r="M491" s="4" t="b">
        <f t="shared" si="122"/>
        <v>0</v>
      </c>
      <c r="N491" s="4"/>
      <c r="O491" s="4"/>
      <c r="P491" s="4"/>
      <c r="Q491" s="4"/>
    </row>
    <row r="492">
      <c r="A492" s="2">
        <f t="shared" si="78"/>
        <v>18</v>
      </c>
      <c r="B492" s="3">
        <f t="shared" si="165"/>
        <v>46149</v>
      </c>
      <c r="C492" s="2" t="s">
        <v>57</v>
      </c>
      <c r="D492" s="2" t="s">
        <v>29</v>
      </c>
      <c r="E492" s="4"/>
      <c r="F492" s="4" t="str">
        <f>VLOOKUP($E492,Instructors!$A$2:$C693,3,FALSE)</f>
        <v>#N/A</v>
      </c>
      <c r="G492" s="4" t="str">
        <f t="shared" si="14"/>
        <v/>
      </c>
      <c r="H492" s="4" t="str">
        <f t="shared" si="3"/>
        <v/>
      </c>
      <c r="J492" s="4" t="b">
        <f t="shared" si="124"/>
        <v>0</v>
      </c>
      <c r="K492" s="2" t="b">
        <f t="shared" si="121"/>
        <v>0</v>
      </c>
      <c r="M492" s="4" t="b">
        <f t="shared" si="122"/>
        <v>0</v>
      </c>
      <c r="N492" s="4"/>
      <c r="O492" s="4"/>
      <c r="P492" s="4"/>
      <c r="Q492" s="4"/>
    </row>
    <row r="493">
      <c r="A493" s="2">
        <f t="shared" si="78"/>
        <v>18</v>
      </c>
      <c r="B493" s="3">
        <f t="shared" si="165"/>
        <v>46149</v>
      </c>
      <c r="C493" s="2" t="s">
        <v>57</v>
      </c>
      <c r="D493" s="2" t="s">
        <v>31</v>
      </c>
      <c r="E493" s="4"/>
      <c r="F493" s="4" t="str">
        <f>VLOOKUP($E493,Instructors!$A$2:$C693,3,FALSE)</f>
        <v>#N/A</v>
      </c>
      <c r="G493" s="4" t="str">
        <f t="shared" si="14"/>
        <v/>
      </c>
      <c r="H493" s="4" t="str">
        <f t="shared" si="3"/>
        <v/>
      </c>
      <c r="J493" s="4" t="b">
        <f t="shared" si="124"/>
        <v>0</v>
      </c>
      <c r="K493" s="2" t="b">
        <f t="shared" si="121"/>
        <v>0</v>
      </c>
      <c r="M493" s="4" t="b">
        <f t="shared" si="122"/>
        <v>0</v>
      </c>
      <c r="N493" s="4"/>
      <c r="O493" s="4"/>
      <c r="P493" s="4"/>
      <c r="Q493" s="4"/>
    </row>
    <row r="494">
      <c r="A494" s="2">
        <f t="shared" si="78"/>
        <v>18</v>
      </c>
      <c r="B494" s="3">
        <f t="shared" ref="B494:B497" si="166">B486+2</f>
        <v>46150</v>
      </c>
      <c r="C494" s="2" t="s">
        <v>73</v>
      </c>
      <c r="D494" s="2" t="s">
        <v>18</v>
      </c>
      <c r="E494" s="4"/>
      <c r="F494" s="4" t="str">
        <f>VLOOKUP($E494,Instructors!$A$2:$C693,3,FALSE)</f>
        <v>#N/A</v>
      </c>
      <c r="G494" s="4" t="str">
        <f t="shared" si="14"/>
        <v/>
      </c>
      <c r="H494" s="4" t="str">
        <f t="shared" si="3"/>
        <v/>
      </c>
      <c r="J494" s="4" t="b">
        <f t="shared" si="124"/>
        <v>0</v>
      </c>
      <c r="K494" s="2" t="b">
        <f t="shared" si="121"/>
        <v>0</v>
      </c>
      <c r="M494" s="4" t="b">
        <f t="shared" si="122"/>
        <v>0</v>
      </c>
      <c r="N494" s="4"/>
      <c r="O494" s="4"/>
      <c r="P494" s="4"/>
      <c r="Q494" s="4"/>
    </row>
    <row r="495">
      <c r="A495" s="2">
        <f t="shared" si="78"/>
        <v>18</v>
      </c>
      <c r="B495" s="3">
        <f t="shared" si="166"/>
        <v>46150</v>
      </c>
      <c r="C495" s="2" t="s">
        <v>73</v>
      </c>
      <c r="D495" s="2" t="s">
        <v>24</v>
      </c>
      <c r="E495" s="4"/>
      <c r="F495" s="4" t="str">
        <f>VLOOKUP($E495,Instructors!$A$2:$C693,3,FALSE)</f>
        <v>#N/A</v>
      </c>
      <c r="G495" s="4" t="str">
        <f t="shared" si="14"/>
        <v/>
      </c>
      <c r="H495" s="4" t="str">
        <f t="shared" si="3"/>
        <v/>
      </c>
      <c r="J495" s="4" t="b">
        <f t="shared" si="124"/>
        <v>0</v>
      </c>
      <c r="K495" s="2" t="b">
        <f t="shared" si="121"/>
        <v>0</v>
      </c>
      <c r="M495" s="4" t="b">
        <f t="shared" si="122"/>
        <v>0</v>
      </c>
      <c r="N495" s="4"/>
      <c r="O495" s="4"/>
      <c r="P495" s="4"/>
      <c r="Q495" s="4"/>
    </row>
    <row r="496">
      <c r="A496" s="2">
        <f t="shared" si="78"/>
        <v>18</v>
      </c>
      <c r="B496" s="3">
        <f t="shared" si="166"/>
        <v>46150</v>
      </c>
      <c r="C496" s="2" t="s">
        <v>73</v>
      </c>
      <c r="D496" s="2" t="s">
        <v>29</v>
      </c>
      <c r="E496" s="4"/>
      <c r="F496" s="4" t="str">
        <f>VLOOKUP($E496,Instructors!$A$2:$C693,3,FALSE)</f>
        <v>#N/A</v>
      </c>
      <c r="G496" s="4" t="str">
        <f t="shared" si="14"/>
        <v/>
      </c>
      <c r="H496" s="4" t="str">
        <f t="shared" si="3"/>
        <v/>
      </c>
      <c r="J496" s="4" t="b">
        <f t="shared" si="124"/>
        <v>0</v>
      </c>
      <c r="K496" s="2" t="b">
        <f t="shared" si="121"/>
        <v>0</v>
      </c>
      <c r="M496" s="4" t="b">
        <f t="shared" si="122"/>
        <v>0</v>
      </c>
      <c r="N496" s="4"/>
      <c r="O496" s="4"/>
      <c r="P496" s="4"/>
      <c r="Q496" s="4"/>
    </row>
    <row r="497">
      <c r="A497" s="2">
        <f t="shared" si="78"/>
        <v>18</v>
      </c>
      <c r="B497" s="3">
        <f t="shared" si="166"/>
        <v>46150</v>
      </c>
      <c r="C497" s="2" t="s">
        <v>73</v>
      </c>
      <c r="D497" s="2" t="s">
        <v>31</v>
      </c>
      <c r="E497" s="4"/>
      <c r="F497" s="4" t="str">
        <f>VLOOKUP($E497,Instructors!$A$2:$C693,3,FALSE)</f>
        <v>#N/A</v>
      </c>
      <c r="G497" s="4" t="str">
        <f t="shared" si="14"/>
        <v/>
      </c>
      <c r="H497" s="4" t="str">
        <f t="shared" si="3"/>
        <v/>
      </c>
      <c r="J497" s="4" t="b">
        <f t="shared" si="124"/>
        <v>0</v>
      </c>
      <c r="K497" s="2" t="b">
        <f t="shared" si="121"/>
        <v>0</v>
      </c>
      <c r="M497" s="4" t="b">
        <f t="shared" si="122"/>
        <v>0</v>
      </c>
      <c r="N497" s="4"/>
      <c r="O497" s="4"/>
      <c r="P497" s="4"/>
      <c r="Q497" s="4"/>
    </row>
    <row r="498">
      <c r="A498" s="2">
        <f t="shared" si="78"/>
        <v>18</v>
      </c>
      <c r="B498" s="3">
        <f t="shared" ref="B498:B501" si="167">B494+1</f>
        <v>46151</v>
      </c>
      <c r="C498" s="2" t="s">
        <v>86</v>
      </c>
      <c r="D498" s="2" t="s">
        <v>18</v>
      </c>
      <c r="E498" s="4"/>
      <c r="F498" s="4" t="str">
        <f>VLOOKUP($E498,Instructors!$A$2:$C693,3,FALSE)</f>
        <v>#N/A</v>
      </c>
      <c r="G498" s="4" t="str">
        <f t="shared" si="14"/>
        <v/>
      </c>
      <c r="H498" s="4" t="str">
        <f t="shared" si="3"/>
        <v/>
      </c>
      <c r="J498" s="4" t="b">
        <f t="shared" si="124"/>
        <v>0</v>
      </c>
      <c r="K498" s="2" t="b">
        <f t="shared" si="121"/>
        <v>0</v>
      </c>
      <c r="M498" s="4" t="b">
        <f t="shared" si="122"/>
        <v>0</v>
      </c>
      <c r="N498" s="4"/>
      <c r="O498" s="4"/>
      <c r="P498" s="4"/>
      <c r="Q498" s="4"/>
    </row>
    <row r="499">
      <c r="A499" s="2">
        <f t="shared" si="78"/>
        <v>18</v>
      </c>
      <c r="B499" s="3">
        <f t="shared" si="167"/>
        <v>46151</v>
      </c>
      <c r="C499" s="2" t="s">
        <v>86</v>
      </c>
      <c r="D499" s="2" t="s">
        <v>24</v>
      </c>
      <c r="E499" s="4"/>
      <c r="F499" s="4" t="str">
        <f>VLOOKUP($E499,Instructors!$A$2:$C693,3,FALSE)</f>
        <v>#N/A</v>
      </c>
      <c r="G499" s="4" t="str">
        <f t="shared" si="14"/>
        <v/>
      </c>
      <c r="H499" s="4" t="str">
        <f t="shared" si="3"/>
        <v/>
      </c>
      <c r="J499" s="4" t="b">
        <f t="shared" si="124"/>
        <v>0</v>
      </c>
      <c r="K499" s="2" t="b">
        <f t="shared" si="121"/>
        <v>0</v>
      </c>
      <c r="M499" s="4" t="b">
        <f t="shared" si="122"/>
        <v>0</v>
      </c>
      <c r="N499" s="4"/>
      <c r="O499" s="4"/>
      <c r="P499" s="4"/>
      <c r="Q499" s="4"/>
    </row>
    <row r="500">
      <c r="A500" s="2">
        <f t="shared" si="78"/>
        <v>18</v>
      </c>
      <c r="B500" s="3">
        <f t="shared" si="167"/>
        <v>46151</v>
      </c>
      <c r="C500" s="2" t="s">
        <v>86</v>
      </c>
      <c r="D500" s="2" t="s">
        <v>29</v>
      </c>
      <c r="E500" s="4"/>
      <c r="F500" s="4" t="str">
        <f>VLOOKUP($E500,Instructors!$A$2:$C693,3,FALSE)</f>
        <v>#N/A</v>
      </c>
      <c r="G500" s="4" t="str">
        <f t="shared" si="14"/>
        <v/>
      </c>
      <c r="H500" s="4" t="str">
        <f t="shared" si="3"/>
        <v/>
      </c>
      <c r="J500" s="4" t="b">
        <f t="shared" si="124"/>
        <v>0</v>
      </c>
      <c r="K500" s="2" t="b">
        <f t="shared" si="121"/>
        <v>0</v>
      </c>
      <c r="M500" s="4" t="b">
        <f t="shared" si="122"/>
        <v>0</v>
      </c>
      <c r="N500" s="4"/>
      <c r="O500" s="4"/>
      <c r="P500" s="4"/>
      <c r="Q500" s="4"/>
    </row>
    <row r="501">
      <c r="A501" s="2">
        <f t="shared" si="78"/>
        <v>18</v>
      </c>
      <c r="B501" s="3">
        <f t="shared" si="167"/>
        <v>46151</v>
      </c>
      <c r="C501" s="2" t="s">
        <v>86</v>
      </c>
      <c r="D501" s="2" t="s">
        <v>31</v>
      </c>
      <c r="E501" s="4"/>
      <c r="F501" s="4" t="str">
        <f>VLOOKUP($E501,Instructors!$A$2:$C693,3,FALSE)</f>
        <v>#N/A</v>
      </c>
      <c r="G501" s="4" t="str">
        <f t="shared" si="14"/>
        <v/>
      </c>
      <c r="H501" s="4" t="str">
        <f t="shared" si="3"/>
        <v/>
      </c>
      <c r="J501" s="4" t="b">
        <f t="shared" si="124"/>
        <v>0</v>
      </c>
      <c r="K501" s="2" t="b">
        <f t="shared" si="121"/>
        <v>0</v>
      </c>
      <c r="M501" s="4" t="b">
        <f t="shared" si="122"/>
        <v>0</v>
      </c>
      <c r="N501" s="4"/>
      <c r="O501" s="4"/>
      <c r="P501" s="4"/>
      <c r="Q501" s="4"/>
    </row>
    <row r="502">
      <c r="A502" s="2">
        <f t="shared" si="78"/>
        <v>18</v>
      </c>
      <c r="B502" s="3">
        <f t="shared" ref="B502:B509" si="168">B494+2</f>
        <v>46152</v>
      </c>
      <c r="C502" s="2" t="s">
        <v>93</v>
      </c>
      <c r="D502" s="2" t="s">
        <v>18</v>
      </c>
      <c r="E502" s="4"/>
      <c r="F502" s="4" t="str">
        <f>VLOOKUP($E502,Instructors!$A$2:$C693,3,FALSE)</f>
        <v>#N/A</v>
      </c>
      <c r="G502" s="4" t="str">
        <f t="shared" si="14"/>
        <v/>
      </c>
      <c r="H502" s="4" t="str">
        <f t="shared" si="3"/>
        <v/>
      </c>
      <c r="J502" s="4" t="b">
        <f t="shared" si="124"/>
        <v>0</v>
      </c>
      <c r="K502" s="2" t="b">
        <f t="shared" si="121"/>
        <v>0</v>
      </c>
      <c r="M502" s="4" t="b">
        <f t="shared" si="122"/>
        <v>0</v>
      </c>
      <c r="N502" s="4"/>
      <c r="O502" s="4"/>
      <c r="P502" s="4"/>
      <c r="Q502" s="4"/>
    </row>
    <row r="503">
      <c r="A503" s="2">
        <f t="shared" si="78"/>
        <v>18</v>
      </c>
      <c r="B503" s="3">
        <f t="shared" si="168"/>
        <v>46152</v>
      </c>
      <c r="C503" s="2" t="s">
        <v>93</v>
      </c>
      <c r="D503" s="2" t="s">
        <v>24</v>
      </c>
      <c r="E503" s="4"/>
      <c r="F503" s="4" t="str">
        <f>VLOOKUP($E503,Instructors!$A$2:$C693,3,FALSE)</f>
        <v>#N/A</v>
      </c>
      <c r="G503" s="4" t="str">
        <f t="shared" si="14"/>
        <v/>
      </c>
      <c r="H503" s="4" t="str">
        <f t="shared" si="3"/>
        <v/>
      </c>
      <c r="J503" s="4" t="b">
        <f t="shared" si="124"/>
        <v>0</v>
      </c>
      <c r="K503" s="2" t="b">
        <f t="shared" si="121"/>
        <v>0</v>
      </c>
      <c r="M503" s="4" t="b">
        <f t="shared" si="122"/>
        <v>0</v>
      </c>
      <c r="N503" s="4"/>
      <c r="O503" s="4"/>
      <c r="P503" s="4"/>
      <c r="Q503" s="4"/>
    </row>
    <row r="504">
      <c r="A504" s="2">
        <f t="shared" si="78"/>
        <v>18</v>
      </c>
      <c r="B504" s="3">
        <f t="shared" si="168"/>
        <v>46152</v>
      </c>
      <c r="C504" s="2" t="s">
        <v>93</v>
      </c>
      <c r="D504" s="2" t="s">
        <v>29</v>
      </c>
      <c r="E504" s="4"/>
      <c r="F504" s="4" t="str">
        <f>VLOOKUP($E504,Instructors!$A$2:$C693,3,FALSE)</f>
        <v>#N/A</v>
      </c>
      <c r="G504" s="4" t="str">
        <f t="shared" si="14"/>
        <v/>
      </c>
      <c r="H504" s="4" t="str">
        <f t="shared" si="3"/>
        <v/>
      </c>
      <c r="J504" s="4" t="b">
        <f t="shared" si="124"/>
        <v>0</v>
      </c>
      <c r="K504" s="2" t="b">
        <f t="shared" si="121"/>
        <v>0</v>
      </c>
      <c r="M504" s="4" t="b">
        <f t="shared" si="122"/>
        <v>0</v>
      </c>
      <c r="N504" s="4"/>
      <c r="O504" s="4"/>
      <c r="P504" s="4"/>
      <c r="Q504" s="4"/>
    </row>
    <row r="505">
      <c r="A505" s="2">
        <f t="shared" si="78"/>
        <v>18</v>
      </c>
      <c r="B505" s="3">
        <f t="shared" si="168"/>
        <v>46152</v>
      </c>
      <c r="C505" s="2" t="s">
        <v>93</v>
      </c>
      <c r="D505" s="2" t="s">
        <v>31</v>
      </c>
      <c r="E505" s="4"/>
      <c r="F505" s="4" t="str">
        <f>VLOOKUP($E505,Instructors!$A$2:$C693,3,FALSE)</f>
        <v>#N/A</v>
      </c>
      <c r="G505" s="4" t="str">
        <f t="shared" si="14"/>
        <v/>
      </c>
      <c r="H505" s="4" t="str">
        <f t="shared" si="3"/>
        <v/>
      </c>
      <c r="J505" s="4" t="b">
        <f t="shared" si="124"/>
        <v>0</v>
      </c>
      <c r="K505" s="2" t="b">
        <f t="shared" si="121"/>
        <v>0</v>
      </c>
      <c r="M505" s="4" t="b">
        <f t="shared" si="122"/>
        <v>0</v>
      </c>
      <c r="N505" s="4"/>
      <c r="O505" s="4"/>
      <c r="P505" s="4"/>
      <c r="Q505" s="4"/>
    </row>
    <row r="506">
      <c r="A506" s="2">
        <f t="shared" si="78"/>
        <v>19</v>
      </c>
      <c r="B506" s="3">
        <f t="shared" si="168"/>
        <v>46153</v>
      </c>
      <c r="C506" s="2" t="s">
        <v>17</v>
      </c>
      <c r="D506" s="2" t="s">
        <v>18</v>
      </c>
      <c r="E506" s="4"/>
      <c r="F506" s="4" t="str">
        <f>VLOOKUP($E506,Instructors!$A$2:$C693,3,FALSE)</f>
        <v>#N/A</v>
      </c>
      <c r="G506" s="4" t="str">
        <f t="shared" si="14"/>
        <v/>
      </c>
      <c r="H506" s="4" t="str">
        <f t="shared" si="3"/>
        <v/>
      </c>
      <c r="J506" s="4" t="b">
        <f t="shared" si="124"/>
        <v>0</v>
      </c>
      <c r="K506" s="2" t="b">
        <f t="shared" si="121"/>
        <v>0</v>
      </c>
      <c r="M506" s="4" t="b">
        <f t="shared" si="122"/>
        <v>0</v>
      </c>
      <c r="N506" s="4"/>
      <c r="O506" s="4"/>
      <c r="P506" s="4"/>
      <c r="Q506" s="4"/>
    </row>
    <row r="507">
      <c r="A507" s="2">
        <f t="shared" si="78"/>
        <v>19</v>
      </c>
      <c r="B507" s="3">
        <f t="shared" si="168"/>
        <v>46153</v>
      </c>
      <c r="C507" s="2" t="s">
        <v>17</v>
      </c>
      <c r="D507" s="2" t="s">
        <v>24</v>
      </c>
      <c r="E507" s="4"/>
      <c r="F507" s="4" t="str">
        <f>VLOOKUP($E507,Instructors!$A$2:$C693,3,FALSE)</f>
        <v>#N/A</v>
      </c>
      <c r="G507" s="4" t="str">
        <f t="shared" si="14"/>
        <v/>
      </c>
      <c r="H507" s="4" t="str">
        <f t="shared" si="3"/>
        <v/>
      </c>
      <c r="J507" s="4" t="b">
        <f t="shared" si="124"/>
        <v>0</v>
      </c>
      <c r="K507" s="2" t="b">
        <f t="shared" si="121"/>
        <v>0</v>
      </c>
      <c r="M507" s="4" t="b">
        <f t="shared" si="122"/>
        <v>0</v>
      </c>
      <c r="N507" s="4"/>
      <c r="O507" s="4"/>
      <c r="P507" s="4"/>
      <c r="Q507" s="4"/>
    </row>
    <row r="508">
      <c r="A508" s="2">
        <f t="shared" si="78"/>
        <v>19</v>
      </c>
      <c r="B508" s="3">
        <f t="shared" si="168"/>
        <v>46153</v>
      </c>
      <c r="C508" s="2" t="s">
        <v>17</v>
      </c>
      <c r="D508" s="2" t="s">
        <v>29</v>
      </c>
      <c r="E508" s="4"/>
      <c r="F508" s="4" t="str">
        <f>VLOOKUP($E508,Instructors!$A$2:$C693,3,FALSE)</f>
        <v>#N/A</v>
      </c>
      <c r="G508" s="4" t="str">
        <f t="shared" si="14"/>
        <v/>
      </c>
      <c r="H508" s="4" t="str">
        <f t="shared" si="3"/>
        <v/>
      </c>
      <c r="J508" s="4" t="b">
        <f t="shared" si="124"/>
        <v>0</v>
      </c>
      <c r="K508" s="2" t="b">
        <f t="shared" si="121"/>
        <v>0</v>
      </c>
      <c r="M508" s="4" t="b">
        <f t="shared" si="122"/>
        <v>0</v>
      </c>
      <c r="N508" s="4"/>
      <c r="O508" s="4"/>
      <c r="P508" s="4"/>
      <c r="Q508" s="4"/>
    </row>
    <row r="509">
      <c r="A509" s="2">
        <f t="shared" si="78"/>
        <v>19</v>
      </c>
      <c r="B509" s="3">
        <f t="shared" si="168"/>
        <v>46153</v>
      </c>
      <c r="C509" s="2" t="s">
        <v>17</v>
      </c>
      <c r="D509" s="2" t="s">
        <v>31</v>
      </c>
      <c r="E509" s="4"/>
      <c r="F509" s="4" t="str">
        <f>VLOOKUP($E509,Instructors!$A$2:$C693,3,FALSE)</f>
        <v>#N/A</v>
      </c>
      <c r="G509" s="4" t="str">
        <f t="shared" si="14"/>
        <v/>
      </c>
      <c r="H509" s="4" t="str">
        <f t="shared" si="3"/>
        <v/>
      </c>
      <c r="J509" s="4" t="b">
        <f t="shared" si="124"/>
        <v>0</v>
      </c>
      <c r="K509" s="2" t="b">
        <f t="shared" si="121"/>
        <v>0</v>
      </c>
      <c r="M509" s="4" t="b">
        <f t="shared" si="122"/>
        <v>0</v>
      </c>
      <c r="N509" s="4"/>
      <c r="O509" s="4"/>
      <c r="P509" s="4"/>
      <c r="Q509" s="4"/>
    </row>
    <row r="510">
      <c r="A510" s="2">
        <f t="shared" si="78"/>
        <v>19</v>
      </c>
      <c r="B510" s="3">
        <f t="shared" ref="B510:B513" si="169">B506+1</f>
        <v>46154</v>
      </c>
      <c r="C510" s="2" t="s">
        <v>33</v>
      </c>
      <c r="D510" s="2" t="s">
        <v>18</v>
      </c>
      <c r="E510" s="4"/>
      <c r="F510" s="4" t="str">
        <f>VLOOKUP($E510,Instructors!$A$2:$C693,3,FALSE)</f>
        <v>#N/A</v>
      </c>
      <c r="G510" s="4" t="str">
        <f t="shared" si="14"/>
        <v/>
      </c>
      <c r="H510" s="4" t="str">
        <f t="shared" si="3"/>
        <v/>
      </c>
      <c r="J510" s="4" t="b">
        <f t="shared" si="124"/>
        <v>0</v>
      </c>
      <c r="K510" s="2" t="b">
        <f t="shared" si="121"/>
        <v>0</v>
      </c>
      <c r="M510" s="4" t="b">
        <f t="shared" si="122"/>
        <v>0</v>
      </c>
      <c r="N510" s="4"/>
      <c r="O510" s="4"/>
      <c r="P510" s="4"/>
      <c r="Q510" s="4"/>
    </row>
    <row r="511">
      <c r="A511" s="2">
        <f t="shared" si="78"/>
        <v>19</v>
      </c>
      <c r="B511" s="3">
        <f t="shared" si="169"/>
        <v>46154</v>
      </c>
      <c r="C511" s="2" t="s">
        <v>33</v>
      </c>
      <c r="D511" s="2" t="s">
        <v>24</v>
      </c>
      <c r="E511" s="4"/>
      <c r="F511" s="4" t="str">
        <f>VLOOKUP($E511,Instructors!$A$2:$C693,3,FALSE)</f>
        <v>#N/A</v>
      </c>
      <c r="G511" s="4" t="str">
        <f t="shared" si="14"/>
        <v/>
      </c>
      <c r="H511" s="4" t="str">
        <f t="shared" si="3"/>
        <v/>
      </c>
      <c r="J511" s="4" t="b">
        <f t="shared" si="124"/>
        <v>0</v>
      </c>
      <c r="K511" s="2" t="b">
        <f t="shared" si="121"/>
        <v>0</v>
      </c>
      <c r="M511" s="4" t="b">
        <f t="shared" si="122"/>
        <v>0</v>
      </c>
      <c r="N511" s="4"/>
      <c r="O511" s="4"/>
      <c r="P511" s="4"/>
      <c r="Q511" s="4"/>
    </row>
    <row r="512">
      <c r="A512" s="2">
        <f t="shared" si="78"/>
        <v>19</v>
      </c>
      <c r="B512" s="3">
        <f t="shared" si="169"/>
        <v>46154</v>
      </c>
      <c r="C512" s="2" t="s">
        <v>33</v>
      </c>
      <c r="D512" s="2" t="s">
        <v>29</v>
      </c>
      <c r="E512" s="4"/>
      <c r="F512" s="4" t="str">
        <f>VLOOKUP($E512,Instructors!$A$2:$C693,3,FALSE)</f>
        <v>#N/A</v>
      </c>
      <c r="G512" s="4" t="str">
        <f t="shared" si="14"/>
        <v/>
      </c>
      <c r="H512" s="4" t="str">
        <f t="shared" si="3"/>
        <v/>
      </c>
      <c r="J512" s="4" t="b">
        <f t="shared" si="124"/>
        <v>0</v>
      </c>
      <c r="K512" s="2" t="b">
        <f t="shared" si="121"/>
        <v>0</v>
      </c>
      <c r="M512" s="4" t="b">
        <f t="shared" si="122"/>
        <v>0</v>
      </c>
      <c r="N512" s="4"/>
      <c r="O512" s="4"/>
      <c r="P512" s="4"/>
      <c r="Q512" s="4"/>
    </row>
    <row r="513">
      <c r="A513" s="2">
        <f t="shared" si="78"/>
        <v>19</v>
      </c>
      <c r="B513" s="3">
        <f t="shared" si="169"/>
        <v>46154</v>
      </c>
      <c r="C513" s="2" t="s">
        <v>33</v>
      </c>
      <c r="D513" s="2" t="s">
        <v>31</v>
      </c>
      <c r="E513" s="4"/>
      <c r="F513" s="4" t="str">
        <f>VLOOKUP($E513,Instructors!$A$2:$C693,3,FALSE)</f>
        <v>#N/A</v>
      </c>
      <c r="G513" s="4" t="str">
        <f t="shared" si="14"/>
        <v/>
      </c>
      <c r="H513" s="4" t="str">
        <f t="shared" si="3"/>
        <v/>
      </c>
      <c r="J513" s="4" t="b">
        <f t="shared" si="124"/>
        <v>0</v>
      </c>
      <c r="K513" s="2" t="b">
        <f t="shared" si="121"/>
        <v>0</v>
      </c>
      <c r="M513" s="4" t="b">
        <f t="shared" si="122"/>
        <v>0</v>
      </c>
      <c r="N513" s="4"/>
      <c r="O513" s="4"/>
      <c r="P513" s="4"/>
      <c r="Q513" s="4"/>
    </row>
    <row r="514">
      <c r="A514" s="2">
        <f t="shared" si="78"/>
        <v>19</v>
      </c>
      <c r="B514" s="3">
        <f t="shared" ref="B514:B517" si="170">B506+2</f>
        <v>46155</v>
      </c>
      <c r="C514" s="2" t="s">
        <v>45</v>
      </c>
      <c r="D514" s="2" t="s">
        <v>18</v>
      </c>
      <c r="E514" s="4"/>
      <c r="F514" s="4" t="str">
        <f>VLOOKUP($E514,Instructors!$A$2:$C693,3,FALSE)</f>
        <v>#N/A</v>
      </c>
      <c r="G514" s="4" t="str">
        <f t="shared" si="14"/>
        <v/>
      </c>
      <c r="H514" s="4" t="str">
        <f t="shared" si="3"/>
        <v/>
      </c>
      <c r="J514" s="4" t="b">
        <f t="shared" si="124"/>
        <v>0</v>
      </c>
      <c r="K514" s="2" t="b">
        <f t="shared" si="121"/>
        <v>0</v>
      </c>
      <c r="M514" s="4" t="b">
        <f t="shared" si="122"/>
        <v>0</v>
      </c>
      <c r="N514" s="4"/>
      <c r="O514" s="4"/>
      <c r="P514" s="4"/>
      <c r="Q514" s="4"/>
    </row>
    <row r="515">
      <c r="A515" s="2">
        <f t="shared" si="78"/>
        <v>19</v>
      </c>
      <c r="B515" s="3">
        <f t="shared" si="170"/>
        <v>46155</v>
      </c>
      <c r="C515" s="2" t="s">
        <v>45</v>
      </c>
      <c r="D515" s="2" t="s">
        <v>24</v>
      </c>
      <c r="E515" s="4"/>
      <c r="F515" s="4" t="str">
        <f>VLOOKUP($E515,Instructors!$A$2:$C693,3,FALSE)</f>
        <v>#N/A</v>
      </c>
      <c r="G515" s="4" t="str">
        <f t="shared" si="14"/>
        <v/>
      </c>
      <c r="H515" s="4" t="str">
        <f t="shared" si="3"/>
        <v/>
      </c>
      <c r="J515" s="4" t="b">
        <f t="shared" si="124"/>
        <v>0</v>
      </c>
      <c r="K515" s="2" t="b">
        <f t="shared" si="121"/>
        <v>0</v>
      </c>
      <c r="M515" s="4" t="b">
        <f t="shared" si="122"/>
        <v>0</v>
      </c>
      <c r="N515" s="4"/>
      <c r="O515" s="4"/>
      <c r="P515" s="4"/>
      <c r="Q515" s="4"/>
    </row>
    <row r="516">
      <c r="A516" s="2">
        <f t="shared" si="78"/>
        <v>19</v>
      </c>
      <c r="B516" s="3">
        <f t="shared" si="170"/>
        <v>46155</v>
      </c>
      <c r="C516" s="2" t="s">
        <v>45</v>
      </c>
      <c r="D516" s="2" t="s">
        <v>29</v>
      </c>
      <c r="E516" s="4"/>
      <c r="F516" s="4" t="str">
        <f>VLOOKUP($E516,Instructors!$A$2:$C693,3,FALSE)</f>
        <v>#N/A</v>
      </c>
      <c r="G516" s="4" t="str">
        <f t="shared" si="14"/>
        <v/>
      </c>
      <c r="H516" s="4" t="str">
        <f t="shared" si="3"/>
        <v/>
      </c>
      <c r="J516" s="4" t="b">
        <f t="shared" si="124"/>
        <v>0</v>
      </c>
      <c r="K516" s="2" t="b">
        <f t="shared" si="121"/>
        <v>0</v>
      </c>
      <c r="M516" s="4" t="b">
        <f t="shared" si="122"/>
        <v>0</v>
      </c>
      <c r="N516" s="4"/>
      <c r="O516" s="4"/>
      <c r="P516" s="4"/>
      <c r="Q516" s="4"/>
    </row>
    <row r="517">
      <c r="A517" s="2">
        <f t="shared" si="78"/>
        <v>19</v>
      </c>
      <c r="B517" s="3">
        <f t="shared" si="170"/>
        <v>46155</v>
      </c>
      <c r="C517" s="2" t="s">
        <v>45</v>
      </c>
      <c r="D517" s="2" t="s">
        <v>31</v>
      </c>
      <c r="E517" s="4"/>
      <c r="F517" s="4" t="str">
        <f>VLOOKUP($E517,Instructors!$A$2:$C693,3,FALSE)</f>
        <v>#N/A</v>
      </c>
      <c r="G517" s="4" t="str">
        <f t="shared" si="14"/>
        <v/>
      </c>
      <c r="H517" s="4" t="str">
        <f t="shared" si="3"/>
        <v/>
      </c>
      <c r="J517" s="4" t="b">
        <f t="shared" si="124"/>
        <v>0</v>
      </c>
      <c r="K517" s="2" t="b">
        <f t="shared" si="121"/>
        <v>0</v>
      </c>
      <c r="M517" s="4" t="b">
        <f t="shared" si="122"/>
        <v>0</v>
      </c>
      <c r="N517" s="4"/>
      <c r="O517" s="4"/>
      <c r="P517" s="4"/>
      <c r="Q517" s="4"/>
    </row>
    <row r="518">
      <c r="A518" s="2">
        <f t="shared" si="78"/>
        <v>19</v>
      </c>
      <c r="B518" s="3">
        <f t="shared" ref="B518:B521" si="171">B514+1</f>
        <v>46156</v>
      </c>
      <c r="C518" s="2" t="s">
        <v>57</v>
      </c>
      <c r="D518" s="2" t="s">
        <v>18</v>
      </c>
      <c r="E518" s="4"/>
      <c r="F518" s="4" t="str">
        <f>VLOOKUP($E518,Instructors!$A$2:$C693,3,FALSE)</f>
        <v>#N/A</v>
      </c>
      <c r="G518" s="4" t="str">
        <f t="shared" si="14"/>
        <v/>
      </c>
      <c r="H518" s="4" t="str">
        <f t="shared" si="3"/>
        <v/>
      </c>
      <c r="J518" s="4" t="b">
        <f t="shared" si="124"/>
        <v>0</v>
      </c>
      <c r="K518" s="2" t="b">
        <f t="shared" si="121"/>
        <v>0</v>
      </c>
      <c r="M518" s="4" t="b">
        <f t="shared" si="122"/>
        <v>0</v>
      </c>
      <c r="N518" s="4"/>
      <c r="O518" s="4"/>
      <c r="P518" s="4"/>
      <c r="Q518" s="4"/>
    </row>
    <row r="519">
      <c r="A519" s="2">
        <f t="shared" si="78"/>
        <v>19</v>
      </c>
      <c r="B519" s="3">
        <f t="shared" si="171"/>
        <v>46156</v>
      </c>
      <c r="C519" s="2" t="s">
        <v>57</v>
      </c>
      <c r="D519" s="2" t="s">
        <v>24</v>
      </c>
      <c r="E519" s="4"/>
      <c r="F519" s="4" t="str">
        <f>VLOOKUP($E519,Instructors!$A$2:$C693,3,FALSE)</f>
        <v>#N/A</v>
      </c>
      <c r="G519" s="4" t="str">
        <f t="shared" si="14"/>
        <v/>
      </c>
      <c r="H519" s="4" t="str">
        <f t="shared" si="3"/>
        <v/>
      </c>
      <c r="J519" s="4" t="b">
        <f t="shared" si="124"/>
        <v>0</v>
      </c>
      <c r="K519" s="2" t="b">
        <f t="shared" si="121"/>
        <v>0</v>
      </c>
      <c r="M519" s="4" t="b">
        <f t="shared" si="122"/>
        <v>0</v>
      </c>
      <c r="N519" s="4"/>
      <c r="O519" s="4"/>
      <c r="P519" s="4"/>
      <c r="Q519" s="4"/>
    </row>
    <row r="520">
      <c r="A520" s="2">
        <f t="shared" si="78"/>
        <v>19</v>
      </c>
      <c r="B520" s="3">
        <f t="shared" si="171"/>
        <v>46156</v>
      </c>
      <c r="C520" s="2" t="s">
        <v>57</v>
      </c>
      <c r="D520" s="2" t="s">
        <v>29</v>
      </c>
      <c r="E520" s="4"/>
      <c r="F520" s="4" t="str">
        <f>VLOOKUP($E520,Instructors!$A$2:$C693,3,FALSE)</f>
        <v>#N/A</v>
      </c>
      <c r="G520" s="4" t="str">
        <f t="shared" si="14"/>
        <v/>
      </c>
      <c r="H520" s="4" t="str">
        <f t="shared" si="3"/>
        <v/>
      </c>
      <c r="J520" s="4" t="b">
        <f t="shared" si="124"/>
        <v>0</v>
      </c>
      <c r="K520" s="2" t="b">
        <f t="shared" si="121"/>
        <v>0</v>
      </c>
      <c r="M520" s="4" t="b">
        <f t="shared" si="122"/>
        <v>0</v>
      </c>
      <c r="N520" s="4"/>
      <c r="O520" s="4"/>
      <c r="P520" s="4"/>
      <c r="Q520" s="4"/>
    </row>
    <row r="521">
      <c r="A521" s="2">
        <f t="shared" si="78"/>
        <v>19</v>
      </c>
      <c r="B521" s="3">
        <f t="shared" si="171"/>
        <v>46156</v>
      </c>
      <c r="C521" s="2" t="s">
        <v>57</v>
      </c>
      <c r="D521" s="2" t="s">
        <v>31</v>
      </c>
      <c r="E521" s="4"/>
      <c r="F521" s="4" t="str">
        <f>VLOOKUP($E521,Instructors!$A$2:$C693,3,FALSE)</f>
        <v>#N/A</v>
      </c>
      <c r="G521" s="4" t="str">
        <f t="shared" si="14"/>
        <v/>
      </c>
      <c r="H521" s="4" t="str">
        <f t="shared" si="3"/>
        <v/>
      </c>
      <c r="J521" s="4" t="b">
        <f t="shared" si="124"/>
        <v>0</v>
      </c>
      <c r="K521" s="2" t="b">
        <f t="shared" si="121"/>
        <v>0</v>
      </c>
      <c r="M521" s="4" t="b">
        <f t="shared" si="122"/>
        <v>0</v>
      </c>
      <c r="N521" s="4"/>
      <c r="O521" s="4"/>
      <c r="P521" s="4"/>
      <c r="Q521" s="4"/>
    </row>
    <row r="522">
      <c r="A522" s="2">
        <f t="shared" si="78"/>
        <v>19</v>
      </c>
      <c r="B522" s="3">
        <f t="shared" ref="B522:B525" si="172">B514+2</f>
        <v>46157</v>
      </c>
      <c r="C522" s="2" t="s">
        <v>73</v>
      </c>
      <c r="D522" s="2" t="s">
        <v>18</v>
      </c>
      <c r="E522" s="4"/>
      <c r="F522" s="4" t="str">
        <f>VLOOKUP($E522,Instructors!$A$2:$C693,3,FALSE)</f>
        <v>#N/A</v>
      </c>
      <c r="G522" s="4" t="str">
        <f t="shared" si="14"/>
        <v/>
      </c>
      <c r="H522" s="4" t="str">
        <f t="shared" si="3"/>
        <v/>
      </c>
      <c r="J522" s="4" t="b">
        <f t="shared" si="124"/>
        <v>0</v>
      </c>
      <c r="K522" s="2" t="b">
        <f t="shared" si="121"/>
        <v>0</v>
      </c>
      <c r="M522" s="4" t="b">
        <f t="shared" si="122"/>
        <v>0</v>
      </c>
      <c r="N522" s="4"/>
      <c r="O522" s="4"/>
      <c r="P522" s="4"/>
      <c r="Q522" s="4"/>
    </row>
    <row r="523">
      <c r="A523" s="2">
        <f t="shared" si="78"/>
        <v>19</v>
      </c>
      <c r="B523" s="3">
        <f t="shared" si="172"/>
        <v>46157</v>
      </c>
      <c r="C523" s="2" t="s">
        <v>73</v>
      </c>
      <c r="D523" s="2" t="s">
        <v>24</v>
      </c>
      <c r="E523" s="4"/>
      <c r="F523" s="4" t="str">
        <f>VLOOKUP($E523,Instructors!$A$2:$C693,3,FALSE)</f>
        <v>#N/A</v>
      </c>
      <c r="G523" s="4" t="str">
        <f t="shared" si="14"/>
        <v/>
      </c>
      <c r="H523" s="4" t="str">
        <f t="shared" si="3"/>
        <v/>
      </c>
      <c r="J523" s="4" t="b">
        <f t="shared" si="124"/>
        <v>0</v>
      </c>
      <c r="K523" s="2" t="b">
        <f t="shared" si="121"/>
        <v>0</v>
      </c>
      <c r="M523" s="4" t="b">
        <f t="shared" si="122"/>
        <v>0</v>
      </c>
      <c r="N523" s="4"/>
      <c r="O523" s="4"/>
      <c r="P523" s="4"/>
      <c r="Q523" s="4"/>
    </row>
    <row r="524">
      <c r="A524" s="2">
        <f t="shared" si="78"/>
        <v>19</v>
      </c>
      <c r="B524" s="3">
        <f t="shared" si="172"/>
        <v>46157</v>
      </c>
      <c r="C524" s="2" t="s">
        <v>73</v>
      </c>
      <c r="D524" s="2" t="s">
        <v>29</v>
      </c>
      <c r="E524" s="4"/>
      <c r="F524" s="4" t="str">
        <f>VLOOKUP($E524,Instructors!$A$2:$C693,3,FALSE)</f>
        <v>#N/A</v>
      </c>
      <c r="G524" s="4" t="str">
        <f t="shared" si="14"/>
        <v/>
      </c>
      <c r="H524" s="4" t="str">
        <f t="shared" si="3"/>
        <v/>
      </c>
      <c r="J524" s="4" t="b">
        <f t="shared" si="124"/>
        <v>0</v>
      </c>
      <c r="K524" s="2" t="b">
        <f t="shared" si="121"/>
        <v>0</v>
      </c>
      <c r="M524" s="4" t="b">
        <f t="shared" si="122"/>
        <v>0</v>
      </c>
      <c r="N524" s="4"/>
      <c r="O524" s="4"/>
      <c r="P524" s="4"/>
      <c r="Q524" s="4"/>
    </row>
    <row r="525">
      <c r="A525" s="2">
        <f t="shared" si="78"/>
        <v>19</v>
      </c>
      <c r="B525" s="3">
        <f t="shared" si="172"/>
        <v>46157</v>
      </c>
      <c r="C525" s="2" t="s">
        <v>73</v>
      </c>
      <c r="D525" s="2" t="s">
        <v>31</v>
      </c>
      <c r="E525" s="4"/>
      <c r="F525" s="4" t="str">
        <f>VLOOKUP($E525,Instructors!$A$2:$C693,3,FALSE)</f>
        <v>#N/A</v>
      </c>
      <c r="G525" s="4" t="str">
        <f t="shared" si="14"/>
        <v/>
      </c>
      <c r="H525" s="4" t="str">
        <f t="shared" si="3"/>
        <v/>
      </c>
      <c r="J525" s="4" t="b">
        <f t="shared" si="124"/>
        <v>0</v>
      </c>
      <c r="K525" s="2" t="b">
        <f t="shared" si="121"/>
        <v>0</v>
      </c>
      <c r="M525" s="4" t="b">
        <f t="shared" si="122"/>
        <v>0</v>
      </c>
      <c r="N525" s="4"/>
      <c r="O525" s="4"/>
      <c r="P525" s="4"/>
      <c r="Q525" s="4"/>
    </row>
    <row r="526">
      <c r="A526" s="2">
        <f t="shared" si="78"/>
        <v>19</v>
      </c>
      <c r="B526" s="3">
        <f t="shared" ref="B526:B529" si="173">B522+1</f>
        <v>46158</v>
      </c>
      <c r="C526" s="2" t="s">
        <v>86</v>
      </c>
      <c r="D526" s="2" t="s">
        <v>18</v>
      </c>
      <c r="E526" s="4"/>
      <c r="F526" s="4" t="str">
        <f>VLOOKUP($E526,Instructors!$A$2:$C693,3,FALSE)</f>
        <v>#N/A</v>
      </c>
      <c r="G526" s="4" t="str">
        <f t="shared" si="14"/>
        <v/>
      </c>
      <c r="H526" s="4" t="str">
        <f t="shared" si="3"/>
        <v/>
      </c>
      <c r="J526" s="4" t="b">
        <f t="shared" si="124"/>
        <v>0</v>
      </c>
      <c r="K526" s="2" t="b">
        <f t="shared" si="121"/>
        <v>0</v>
      </c>
      <c r="M526" s="4" t="b">
        <f t="shared" si="122"/>
        <v>0</v>
      </c>
      <c r="N526" s="4"/>
      <c r="O526" s="4"/>
      <c r="P526" s="4"/>
      <c r="Q526" s="4"/>
    </row>
    <row r="527">
      <c r="A527" s="2">
        <f t="shared" si="78"/>
        <v>19</v>
      </c>
      <c r="B527" s="3">
        <f t="shared" si="173"/>
        <v>46158</v>
      </c>
      <c r="C527" s="2" t="s">
        <v>86</v>
      </c>
      <c r="D527" s="2" t="s">
        <v>24</v>
      </c>
      <c r="E527" s="4"/>
      <c r="F527" s="4" t="str">
        <f>VLOOKUP($E527,Instructors!$A$2:$C693,3,FALSE)</f>
        <v>#N/A</v>
      </c>
      <c r="G527" s="4" t="str">
        <f t="shared" si="14"/>
        <v/>
      </c>
      <c r="H527" s="4" t="str">
        <f t="shared" si="3"/>
        <v/>
      </c>
      <c r="J527" s="4" t="b">
        <f t="shared" si="124"/>
        <v>0</v>
      </c>
      <c r="K527" s="2" t="b">
        <f t="shared" si="121"/>
        <v>0</v>
      </c>
      <c r="M527" s="4" t="b">
        <f t="shared" si="122"/>
        <v>0</v>
      </c>
      <c r="N527" s="4"/>
      <c r="O527" s="4"/>
      <c r="P527" s="4"/>
      <c r="Q527" s="4"/>
    </row>
    <row r="528">
      <c r="A528" s="2">
        <f t="shared" si="78"/>
        <v>19</v>
      </c>
      <c r="B528" s="3">
        <f t="shared" si="173"/>
        <v>46158</v>
      </c>
      <c r="C528" s="2" t="s">
        <v>86</v>
      </c>
      <c r="D528" s="2" t="s">
        <v>29</v>
      </c>
      <c r="E528" s="4"/>
      <c r="F528" s="4" t="str">
        <f>VLOOKUP($E528,Instructors!$A$2:$C693,3,FALSE)</f>
        <v>#N/A</v>
      </c>
      <c r="G528" s="4" t="str">
        <f t="shared" si="14"/>
        <v/>
      </c>
      <c r="H528" s="4" t="str">
        <f t="shared" si="3"/>
        <v/>
      </c>
      <c r="J528" s="4" t="b">
        <f t="shared" si="124"/>
        <v>0</v>
      </c>
      <c r="K528" s="2" t="b">
        <f t="shared" si="121"/>
        <v>0</v>
      </c>
      <c r="M528" s="4" t="b">
        <f t="shared" si="122"/>
        <v>0</v>
      </c>
      <c r="N528" s="4"/>
      <c r="O528" s="4"/>
      <c r="P528" s="4"/>
      <c r="Q528" s="4"/>
    </row>
    <row r="529">
      <c r="A529" s="2">
        <f t="shared" si="78"/>
        <v>19</v>
      </c>
      <c r="B529" s="3">
        <f t="shared" si="173"/>
        <v>46158</v>
      </c>
      <c r="C529" s="2" t="s">
        <v>86</v>
      </c>
      <c r="D529" s="2" t="s">
        <v>31</v>
      </c>
      <c r="E529" s="4"/>
      <c r="F529" s="4" t="str">
        <f>VLOOKUP($E529,Instructors!$A$2:$C693,3,FALSE)</f>
        <v>#N/A</v>
      </c>
      <c r="G529" s="4" t="str">
        <f t="shared" si="14"/>
        <v/>
      </c>
      <c r="H529" s="4" t="str">
        <f t="shared" si="3"/>
        <v/>
      </c>
      <c r="J529" s="4" t="b">
        <f t="shared" si="124"/>
        <v>0</v>
      </c>
      <c r="K529" s="2" t="b">
        <f t="shared" si="121"/>
        <v>0</v>
      </c>
      <c r="M529" s="4" t="b">
        <f t="shared" si="122"/>
        <v>0</v>
      </c>
      <c r="N529" s="4"/>
      <c r="O529" s="4"/>
      <c r="P529" s="4"/>
      <c r="Q529" s="4"/>
    </row>
    <row r="530">
      <c r="A530" s="2">
        <f t="shared" si="78"/>
        <v>19</v>
      </c>
      <c r="B530" s="3">
        <f t="shared" ref="B530:B537" si="174">B522+2</f>
        <v>46159</v>
      </c>
      <c r="C530" s="2" t="s">
        <v>93</v>
      </c>
      <c r="D530" s="2" t="s">
        <v>18</v>
      </c>
      <c r="E530" s="4"/>
      <c r="F530" s="4" t="str">
        <f>VLOOKUP($E530,Instructors!$A$2:$C693,3,FALSE)</f>
        <v>#N/A</v>
      </c>
      <c r="G530" s="4" t="str">
        <f t="shared" si="14"/>
        <v/>
      </c>
      <c r="H530" s="4" t="str">
        <f t="shared" si="3"/>
        <v/>
      </c>
      <c r="J530" s="4" t="b">
        <f t="shared" si="124"/>
        <v>0</v>
      </c>
      <c r="K530" s="2" t="b">
        <f t="shared" si="121"/>
        <v>0</v>
      </c>
      <c r="M530" s="4" t="b">
        <f t="shared" si="122"/>
        <v>0</v>
      </c>
      <c r="N530" s="4"/>
      <c r="O530" s="4"/>
      <c r="P530" s="4"/>
      <c r="Q530" s="4"/>
    </row>
    <row r="531">
      <c r="A531" s="2">
        <f t="shared" si="78"/>
        <v>19</v>
      </c>
      <c r="B531" s="3">
        <f t="shared" si="174"/>
        <v>46159</v>
      </c>
      <c r="C531" s="2" t="s">
        <v>93</v>
      </c>
      <c r="D531" s="2" t="s">
        <v>24</v>
      </c>
      <c r="E531" s="4"/>
      <c r="F531" s="4" t="str">
        <f>VLOOKUP($E531,Instructors!$A$2:$C693,3,FALSE)</f>
        <v>#N/A</v>
      </c>
      <c r="G531" s="4" t="str">
        <f t="shared" si="14"/>
        <v/>
      </c>
      <c r="H531" s="4" t="str">
        <f t="shared" si="3"/>
        <v/>
      </c>
      <c r="J531" s="4" t="b">
        <f t="shared" si="124"/>
        <v>0</v>
      </c>
      <c r="K531" s="2" t="b">
        <f t="shared" si="121"/>
        <v>0</v>
      </c>
      <c r="M531" s="4" t="b">
        <f t="shared" si="122"/>
        <v>0</v>
      </c>
      <c r="N531" s="4"/>
      <c r="O531" s="4"/>
      <c r="P531" s="4"/>
      <c r="Q531" s="4"/>
    </row>
    <row r="532">
      <c r="A532" s="2">
        <f t="shared" si="78"/>
        <v>19</v>
      </c>
      <c r="B532" s="3">
        <f t="shared" si="174"/>
        <v>46159</v>
      </c>
      <c r="C532" s="2" t="s">
        <v>93</v>
      </c>
      <c r="D532" s="2" t="s">
        <v>29</v>
      </c>
      <c r="E532" s="4"/>
      <c r="F532" s="4" t="str">
        <f>VLOOKUP($E532,Instructors!$A$2:$C693,3,FALSE)</f>
        <v>#N/A</v>
      </c>
      <c r="G532" s="4" t="str">
        <f t="shared" si="14"/>
        <v/>
      </c>
      <c r="H532" s="4" t="str">
        <f t="shared" si="3"/>
        <v/>
      </c>
      <c r="J532" s="4" t="b">
        <f t="shared" si="124"/>
        <v>0</v>
      </c>
      <c r="K532" s="2" t="b">
        <f t="shared" si="121"/>
        <v>0</v>
      </c>
      <c r="M532" s="4" t="b">
        <f t="shared" si="122"/>
        <v>0</v>
      </c>
      <c r="N532" s="4"/>
      <c r="O532" s="4"/>
      <c r="P532" s="4"/>
      <c r="Q532" s="4"/>
    </row>
    <row r="533">
      <c r="A533" s="2">
        <f t="shared" si="78"/>
        <v>19</v>
      </c>
      <c r="B533" s="3">
        <f t="shared" si="174"/>
        <v>46159</v>
      </c>
      <c r="C533" s="2" t="s">
        <v>93</v>
      </c>
      <c r="D533" s="2" t="s">
        <v>31</v>
      </c>
      <c r="E533" s="4"/>
      <c r="F533" s="4" t="str">
        <f>VLOOKUP($E533,Instructors!$A$2:$C693,3,FALSE)</f>
        <v>#N/A</v>
      </c>
      <c r="G533" s="4" t="str">
        <f t="shared" si="14"/>
        <v/>
      </c>
      <c r="H533" s="4" t="str">
        <f t="shared" si="3"/>
        <v/>
      </c>
      <c r="J533" s="4" t="b">
        <f t="shared" si="124"/>
        <v>0</v>
      </c>
      <c r="K533" s="2" t="b">
        <f t="shared" si="121"/>
        <v>0</v>
      </c>
      <c r="M533" s="4" t="b">
        <f t="shared" si="122"/>
        <v>0</v>
      </c>
      <c r="N533" s="4"/>
      <c r="O533" s="4"/>
      <c r="P533" s="4"/>
      <c r="Q533" s="4"/>
    </row>
    <row r="534">
      <c r="A534" s="2">
        <f t="shared" si="78"/>
        <v>20</v>
      </c>
      <c r="B534" s="3">
        <f t="shared" si="174"/>
        <v>46160</v>
      </c>
      <c r="C534" s="2" t="s">
        <v>17</v>
      </c>
      <c r="D534" s="2" t="s">
        <v>18</v>
      </c>
      <c r="E534" s="4"/>
      <c r="F534" s="4" t="str">
        <f>VLOOKUP($E534,Instructors!$A$2:$C693,3,FALSE)</f>
        <v>#N/A</v>
      </c>
      <c r="G534" s="4" t="str">
        <f t="shared" si="14"/>
        <v/>
      </c>
      <c r="H534" s="4" t="str">
        <f t="shared" si="3"/>
        <v/>
      </c>
      <c r="J534" s="4" t="b">
        <f t="shared" si="124"/>
        <v>0</v>
      </c>
      <c r="K534" s="2" t="b">
        <f t="shared" si="121"/>
        <v>0</v>
      </c>
      <c r="M534" s="4" t="b">
        <f t="shared" si="122"/>
        <v>0</v>
      </c>
      <c r="N534" s="4"/>
      <c r="O534" s="4"/>
      <c r="P534" s="4"/>
      <c r="Q534" s="4"/>
    </row>
    <row r="535">
      <c r="A535" s="2">
        <f t="shared" si="78"/>
        <v>20</v>
      </c>
      <c r="B535" s="3">
        <f t="shared" si="174"/>
        <v>46160</v>
      </c>
      <c r="C535" s="2" t="s">
        <v>17</v>
      </c>
      <c r="D535" s="2" t="s">
        <v>24</v>
      </c>
      <c r="E535" s="4"/>
      <c r="F535" s="4" t="str">
        <f>VLOOKUP($E535,Instructors!$A$2:$C693,3,FALSE)</f>
        <v>#N/A</v>
      </c>
      <c r="G535" s="4" t="str">
        <f t="shared" si="14"/>
        <v/>
      </c>
      <c r="H535" s="4" t="str">
        <f t="shared" si="3"/>
        <v/>
      </c>
      <c r="J535" s="4" t="b">
        <f t="shared" si="124"/>
        <v>0</v>
      </c>
      <c r="K535" s="2" t="b">
        <f t="shared" si="121"/>
        <v>0</v>
      </c>
      <c r="M535" s="4" t="b">
        <f t="shared" si="122"/>
        <v>0</v>
      </c>
      <c r="N535" s="4"/>
      <c r="O535" s="4"/>
      <c r="P535" s="4"/>
      <c r="Q535" s="4"/>
    </row>
    <row r="536">
      <c r="A536" s="2">
        <f t="shared" si="78"/>
        <v>20</v>
      </c>
      <c r="B536" s="3">
        <f t="shared" si="174"/>
        <v>46160</v>
      </c>
      <c r="C536" s="2" t="s">
        <v>17</v>
      </c>
      <c r="D536" s="2" t="s">
        <v>29</v>
      </c>
      <c r="E536" s="4"/>
      <c r="F536" s="4" t="str">
        <f>VLOOKUP($E536,Instructors!$A$2:$C693,3,FALSE)</f>
        <v>#N/A</v>
      </c>
      <c r="G536" s="4" t="str">
        <f t="shared" si="14"/>
        <v/>
      </c>
      <c r="H536" s="4" t="str">
        <f t="shared" si="3"/>
        <v/>
      </c>
      <c r="J536" s="4" t="b">
        <f t="shared" si="124"/>
        <v>0</v>
      </c>
      <c r="K536" s="2" t="b">
        <f t="shared" si="121"/>
        <v>0</v>
      </c>
      <c r="M536" s="4" t="b">
        <f t="shared" si="122"/>
        <v>0</v>
      </c>
      <c r="N536" s="4"/>
      <c r="O536" s="4"/>
      <c r="P536" s="4"/>
      <c r="Q536" s="4"/>
    </row>
    <row r="537">
      <c r="A537" s="2">
        <f t="shared" si="78"/>
        <v>20</v>
      </c>
      <c r="B537" s="3">
        <f t="shared" si="174"/>
        <v>46160</v>
      </c>
      <c r="C537" s="2" t="s">
        <v>17</v>
      </c>
      <c r="D537" s="2" t="s">
        <v>31</v>
      </c>
      <c r="E537" s="4"/>
      <c r="F537" s="4" t="str">
        <f>VLOOKUP($E537,Instructors!$A$2:$C693,3,FALSE)</f>
        <v>#N/A</v>
      </c>
      <c r="G537" s="4" t="str">
        <f t="shared" si="14"/>
        <v/>
      </c>
      <c r="H537" s="4" t="str">
        <f t="shared" si="3"/>
        <v/>
      </c>
      <c r="J537" s="4" t="b">
        <f t="shared" si="124"/>
        <v>0</v>
      </c>
      <c r="K537" s="2" t="b">
        <f t="shared" si="121"/>
        <v>0</v>
      </c>
      <c r="M537" s="4" t="b">
        <f t="shared" si="122"/>
        <v>0</v>
      </c>
      <c r="N537" s="4"/>
      <c r="O537" s="4"/>
      <c r="P537" s="4"/>
      <c r="Q537" s="4"/>
    </row>
    <row r="538">
      <c r="A538" s="2">
        <f t="shared" si="78"/>
        <v>20</v>
      </c>
      <c r="B538" s="3">
        <f t="shared" ref="B538:B541" si="175">B534+1</f>
        <v>46161</v>
      </c>
      <c r="C538" s="2" t="s">
        <v>33</v>
      </c>
      <c r="D538" s="2" t="s">
        <v>18</v>
      </c>
      <c r="E538" s="4"/>
      <c r="F538" s="4" t="str">
        <f>VLOOKUP($E538,Instructors!$A$2:$C693,3,FALSE)</f>
        <v>#N/A</v>
      </c>
      <c r="G538" s="4" t="str">
        <f t="shared" si="14"/>
        <v/>
      </c>
      <c r="H538" s="4" t="str">
        <f t="shared" si="3"/>
        <v/>
      </c>
      <c r="J538" s="4" t="b">
        <f t="shared" si="124"/>
        <v>0</v>
      </c>
      <c r="K538" s="2" t="b">
        <f t="shared" si="121"/>
        <v>0</v>
      </c>
      <c r="M538" s="4" t="b">
        <f t="shared" si="122"/>
        <v>0</v>
      </c>
      <c r="N538" s="4"/>
      <c r="O538" s="4"/>
      <c r="P538" s="4"/>
      <c r="Q538" s="4"/>
    </row>
    <row r="539">
      <c r="A539" s="2">
        <f t="shared" si="78"/>
        <v>20</v>
      </c>
      <c r="B539" s="3">
        <f t="shared" si="175"/>
        <v>46161</v>
      </c>
      <c r="C539" s="2" t="s">
        <v>33</v>
      </c>
      <c r="D539" s="2" t="s">
        <v>24</v>
      </c>
      <c r="E539" s="4"/>
      <c r="F539" s="4" t="str">
        <f>VLOOKUP($E539,Instructors!$A$2:$C693,3,FALSE)</f>
        <v>#N/A</v>
      </c>
      <c r="G539" s="4" t="str">
        <f t="shared" si="14"/>
        <v/>
      </c>
      <c r="H539" s="4" t="str">
        <f t="shared" si="3"/>
        <v/>
      </c>
      <c r="J539" s="4" t="b">
        <f t="shared" si="124"/>
        <v>0</v>
      </c>
      <c r="K539" s="2" t="b">
        <f t="shared" si="121"/>
        <v>0</v>
      </c>
      <c r="M539" s="4" t="b">
        <f t="shared" si="122"/>
        <v>0</v>
      </c>
      <c r="N539" s="4"/>
      <c r="O539" s="4"/>
      <c r="P539" s="4"/>
      <c r="Q539" s="4"/>
    </row>
    <row r="540">
      <c r="A540" s="2">
        <f t="shared" si="78"/>
        <v>20</v>
      </c>
      <c r="B540" s="3">
        <f t="shared" si="175"/>
        <v>46161</v>
      </c>
      <c r="C540" s="2" t="s">
        <v>33</v>
      </c>
      <c r="D540" s="2" t="s">
        <v>29</v>
      </c>
      <c r="E540" s="4"/>
      <c r="F540" s="4" t="str">
        <f>VLOOKUP($E540,Instructors!$A$2:$C693,3,FALSE)</f>
        <v>#N/A</v>
      </c>
      <c r="G540" s="4" t="str">
        <f t="shared" si="14"/>
        <v/>
      </c>
      <c r="H540" s="4" t="str">
        <f t="shared" si="3"/>
        <v/>
      </c>
      <c r="J540" s="4" t="b">
        <f t="shared" si="124"/>
        <v>0</v>
      </c>
      <c r="K540" s="2" t="b">
        <f t="shared" si="121"/>
        <v>0</v>
      </c>
      <c r="M540" s="4" t="b">
        <f t="shared" si="122"/>
        <v>0</v>
      </c>
      <c r="N540" s="4"/>
      <c r="O540" s="4"/>
      <c r="P540" s="4"/>
      <c r="Q540" s="4"/>
    </row>
    <row r="541">
      <c r="A541" s="2">
        <f t="shared" si="78"/>
        <v>20</v>
      </c>
      <c r="B541" s="3">
        <f t="shared" si="175"/>
        <v>46161</v>
      </c>
      <c r="C541" s="2" t="s">
        <v>33</v>
      </c>
      <c r="D541" s="2" t="s">
        <v>31</v>
      </c>
      <c r="E541" s="4"/>
      <c r="F541" s="4" t="str">
        <f>VLOOKUP($E541,Instructors!$A$2:$C693,3,FALSE)</f>
        <v>#N/A</v>
      </c>
      <c r="G541" s="4" t="str">
        <f t="shared" si="14"/>
        <v/>
      </c>
      <c r="H541" s="4" t="str">
        <f t="shared" si="3"/>
        <v/>
      </c>
      <c r="J541" s="4" t="b">
        <f t="shared" si="124"/>
        <v>0</v>
      </c>
      <c r="K541" s="2" t="b">
        <f t="shared" si="121"/>
        <v>0</v>
      </c>
      <c r="M541" s="4" t="b">
        <f t="shared" si="122"/>
        <v>0</v>
      </c>
      <c r="N541" s="4"/>
      <c r="O541" s="4"/>
      <c r="P541" s="4"/>
      <c r="Q541" s="4"/>
    </row>
    <row r="542">
      <c r="A542" s="2">
        <f t="shared" si="78"/>
        <v>20</v>
      </c>
      <c r="B542" s="3">
        <f t="shared" ref="B542:B545" si="176">B534+2</f>
        <v>46162</v>
      </c>
      <c r="C542" s="2" t="s">
        <v>45</v>
      </c>
      <c r="D542" s="2" t="s">
        <v>18</v>
      </c>
      <c r="E542" s="4"/>
      <c r="F542" s="4" t="str">
        <f>VLOOKUP($E542,Instructors!$A$2:$C693,3,FALSE)</f>
        <v>#N/A</v>
      </c>
      <c r="G542" s="4" t="str">
        <f t="shared" si="14"/>
        <v/>
      </c>
      <c r="H542" s="4" t="str">
        <f t="shared" si="3"/>
        <v/>
      </c>
      <c r="J542" s="4" t="b">
        <f t="shared" si="124"/>
        <v>0</v>
      </c>
      <c r="K542" s="2" t="b">
        <f t="shared" si="121"/>
        <v>0</v>
      </c>
      <c r="M542" s="4" t="b">
        <f t="shared" si="122"/>
        <v>0</v>
      </c>
      <c r="N542" s="4"/>
      <c r="O542" s="4"/>
      <c r="P542" s="4"/>
      <c r="Q542" s="4"/>
    </row>
    <row r="543">
      <c r="A543" s="2">
        <f t="shared" si="78"/>
        <v>20</v>
      </c>
      <c r="B543" s="3">
        <f t="shared" si="176"/>
        <v>46162</v>
      </c>
      <c r="C543" s="2" t="s">
        <v>45</v>
      </c>
      <c r="D543" s="2" t="s">
        <v>24</v>
      </c>
      <c r="E543" s="4"/>
      <c r="F543" s="4" t="str">
        <f>VLOOKUP($E543,Instructors!$A$2:$C693,3,FALSE)</f>
        <v>#N/A</v>
      </c>
      <c r="G543" s="4" t="str">
        <f t="shared" si="14"/>
        <v/>
      </c>
      <c r="H543" s="4" t="str">
        <f t="shared" si="3"/>
        <v/>
      </c>
      <c r="J543" s="4" t="b">
        <f t="shared" si="124"/>
        <v>0</v>
      </c>
      <c r="K543" s="2" t="b">
        <f t="shared" si="121"/>
        <v>0</v>
      </c>
      <c r="M543" s="4" t="b">
        <f t="shared" si="122"/>
        <v>0</v>
      </c>
      <c r="N543" s="4"/>
      <c r="O543" s="4"/>
      <c r="P543" s="4"/>
      <c r="Q543" s="4"/>
    </row>
    <row r="544">
      <c r="A544" s="2">
        <f t="shared" si="78"/>
        <v>20</v>
      </c>
      <c r="B544" s="3">
        <f t="shared" si="176"/>
        <v>46162</v>
      </c>
      <c r="C544" s="2" t="s">
        <v>45</v>
      </c>
      <c r="D544" s="2" t="s">
        <v>29</v>
      </c>
      <c r="E544" s="4"/>
      <c r="F544" s="4" t="str">
        <f>VLOOKUP($E544,Instructors!$A$2:$C693,3,FALSE)</f>
        <v>#N/A</v>
      </c>
      <c r="G544" s="4" t="str">
        <f t="shared" si="14"/>
        <v/>
      </c>
      <c r="H544" s="4" t="str">
        <f t="shared" si="3"/>
        <v/>
      </c>
      <c r="J544" s="4" t="b">
        <f t="shared" si="124"/>
        <v>0</v>
      </c>
      <c r="K544" s="2" t="b">
        <f t="shared" si="121"/>
        <v>0</v>
      </c>
      <c r="M544" s="4" t="b">
        <f t="shared" si="122"/>
        <v>0</v>
      </c>
      <c r="N544" s="4"/>
      <c r="O544" s="4"/>
      <c r="P544" s="4"/>
      <c r="Q544" s="4"/>
    </row>
    <row r="545">
      <c r="A545" s="2">
        <f t="shared" si="78"/>
        <v>20</v>
      </c>
      <c r="B545" s="3">
        <f t="shared" si="176"/>
        <v>46162</v>
      </c>
      <c r="C545" s="2" t="s">
        <v>45</v>
      </c>
      <c r="D545" s="2" t="s">
        <v>31</v>
      </c>
      <c r="E545" s="4"/>
      <c r="F545" s="4" t="str">
        <f>VLOOKUP($E545,Instructors!$A$2:$C693,3,FALSE)</f>
        <v>#N/A</v>
      </c>
      <c r="G545" s="4" t="str">
        <f t="shared" si="14"/>
        <v/>
      </c>
      <c r="H545" s="4" t="str">
        <f t="shared" si="3"/>
        <v/>
      </c>
      <c r="J545" s="4" t="b">
        <f t="shared" si="124"/>
        <v>0</v>
      </c>
      <c r="K545" s="2" t="b">
        <f t="shared" si="121"/>
        <v>0</v>
      </c>
      <c r="M545" s="4" t="b">
        <f t="shared" si="122"/>
        <v>0</v>
      </c>
      <c r="N545" s="4"/>
      <c r="O545" s="4"/>
      <c r="P545" s="4"/>
      <c r="Q545" s="4"/>
    </row>
    <row r="546">
      <c r="A546" s="2">
        <f t="shared" si="78"/>
        <v>20</v>
      </c>
      <c r="B546" s="3">
        <f t="shared" ref="B546:B549" si="177">B542+1</f>
        <v>46163</v>
      </c>
      <c r="C546" s="2" t="s">
        <v>57</v>
      </c>
      <c r="D546" s="2" t="s">
        <v>18</v>
      </c>
      <c r="E546" s="4"/>
      <c r="F546" s="4" t="str">
        <f>VLOOKUP($E546,Instructors!$A$2:$C693,3,FALSE)</f>
        <v>#N/A</v>
      </c>
      <c r="G546" s="4" t="str">
        <f t="shared" si="14"/>
        <v/>
      </c>
      <c r="H546" s="4" t="str">
        <f t="shared" si="3"/>
        <v/>
      </c>
      <c r="J546" s="4" t="b">
        <f t="shared" si="124"/>
        <v>0</v>
      </c>
      <c r="K546" s="2" t="b">
        <f t="shared" si="121"/>
        <v>0</v>
      </c>
      <c r="M546" s="4" t="b">
        <f t="shared" si="122"/>
        <v>0</v>
      </c>
      <c r="N546" s="4"/>
      <c r="O546" s="4"/>
      <c r="P546" s="4"/>
      <c r="Q546" s="4"/>
    </row>
    <row r="547">
      <c r="A547" s="2">
        <f t="shared" si="78"/>
        <v>20</v>
      </c>
      <c r="B547" s="3">
        <f t="shared" si="177"/>
        <v>46163</v>
      </c>
      <c r="C547" s="2" t="s">
        <v>57</v>
      </c>
      <c r="D547" s="2" t="s">
        <v>24</v>
      </c>
      <c r="E547" s="4"/>
      <c r="F547" s="4" t="str">
        <f>VLOOKUP($E547,Instructors!$A$2:$C693,3,FALSE)</f>
        <v>#N/A</v>
      </c>
      <c r="G547" s="4" t="str">
        <f t="shared" si="14"/>
        <v/>
      </c>
      <c r="H547" s="4" t="str">
        <f t="shared" si="3"/>
        <v/>
      </c>
      <c r="J547" s="4" t="b">
        <f t="shared" si="124"/>
        <v>0</v>
      </c>
      <c r="K547" s="2" t="b">
        <f t="shared" si="121"/>
        <v>0</v>
      </c>
      <c r="M547" s="4" t="b">
        <f t="shared" si="122"/>
        <v>0</v>
      </c>
      <c r="N547" s="4"/>
      <c r="O547" s="4"/>
      <c r="P547" s="4"/>
      <c r="Q547" s="4"/>
    </row>
    <row r="548">
      <c r="A548" s="2">
        <f t="shared" si="78"/>
        <v>20</v>
      </c>
      <c r="B548" s="3">
        <f t="shared" si="177"/>
        <v>46163</v>
      </c>
      <c r="C548" s="2" t="s">
        <v>57</v>
      </c>
      <c r="D548" s="2" t="s">
        <v>29</v>
      </c>
      <c r="E548" s="4"/>
      <c r="F548" s="4" t="str">
        <f>VLOOKUP($E548,Instructors!$A$2:$C693,3,FALSE)</f>
        <v>#N/A</v>
      </c>
      <c r="G548" s="4" t="str">
        <f t="shared" si="14"/>
        <v/>
      </c>
      <c r="H548" s="4" t="str">
        <f t="shared" si="3"/>
        <v/>
      </c>
      <c r="J548" s="4" t="b">
        <f t="shared" si="124"/>
        <v>0</v>
      </c>
      <c r="K548" s="2" t="b">
        <f t="shared" si="121"/>
        <v>0</v>
      </c>
      <c r="M548" s="4" t="b">
        <f t="shared" si="122"/>
        <v>0</v>
      </c>
      <c r="N548" s="4"/>
      <c r="O548" s="4"/>
      <c r="P548" s="4"/>
      <c r="Q548" s="4"/>
    </row>
    <row r="549">
      <c r="A549" s="2">
        <f t="shared" si="78"/>
        <v>20</v>
      </c>
      <c r="B549" s="3">
        <f t="shared" si="177"/>
        <v>46163</v>
      </c>
      <c r="C549" s="2" t="s">
        <v>57</v>
      </c>
      <c r="D549" s="2" t="s">
        <v>31</v>
      </c>
      <c r="E549" s="4"/>
      <c r="F549" s="4" t="str">
        <f>VLOOKUP($E549,Instructors!$A$2:$C693,3,FALSE)</f>
        <v>#N/A</v>
      </c>
      <c r="G549" s="4" t="str">
        <f t="shared" si="14"/>
        <v/>
      </c>
      <c r="H549" s="4" t="str">
        <f t="shared" si="3"/>
        <v/>
      </c>
      <c r="J549" s="4" t="b">
        <f t="shared" si="124"/>
        <v>0</v>
      </c>
      <c r="K549" s="2" t="b">
        <f t="shared" si="121"/>
        <v>0</v>
      </c>
      <c r="M549" s="4" t="b">
        <f t="shared" si="122"/>
        <v>0</v>
      </c>
      <c r="N549" s="4"/>
      <c r="O549" s="4"/>
      <c r="P549" s="4"/>
      <c r="Q549" s="4"/>
    </row>
    <row r="550">
      <c r="A550" s="2">
        <f t="shared" si="78"/>
        <v>20</v>
      </c>
      <c r="B550" s="3">
        <f t="shared" ref="B550:B553" si="178">B542+2</f>
        <v>46164</v>
      </c>
      <c r="C550" s="2" t="s">
        <v>73</v>
      </c>
      <c r="D550" s="2" t="s">
        <v>18</v>
      </c>
      <c r="E550" s="4"/>
      <c r="F550" s="4" t="str">
        <f>VLOOKUP($E550,Instructors!$A$2:$C693,3,FALSE)</f>
        <v>#N/A</v>
      </c>
      <c r="G550" s="4" t="str">
        <f t="shared" si="14"/>
        <v/>
      </c>
      <c r="H550" s="4" t="str">
        <f t="shared" si="3"/>
        <v/>
      </c>
      <c r="J550" s="4" t="b">
        <f t="shared" si="124"/>
        <v>0</v>
      </c>
      <c r="K550" s="2" t="b">
        <f t="shared" si="121"/>
        <v>0</v>
      </c>
      <c r="M550" s="4" t="b">
        <f t="shared" si="122"/>
        <v>0</v>
      </c>
      <c r="N550" s="4"/>
      <c r="O550" s="4"/>
      <c r="P550" s="4"/>
      <c r="Q550" s="4"/>
    </row>
    <row r="551">
      <c r="A551" s="2">
        <f t="shared" si="78"/>
        <v>20</v>
      </c>
      <c r="B551" s="3">
        <f t="shared" si="178"/>
        <v>46164</v>
      </c>
      <c r="C551" s="2" t="s">
        <v>73</v>
      </c>
      <c r="D551" s="2" t="s">
        <v>24</v>
      </c>
      <c r="E551" s="4"/>
      <c r="F551" s="4" t="str">
        <f>VLOOKUP($E551,Instructors!$A$2:$C693,3,FALSE)</f>
        <v>#N/A</v>
      </c>
      <c r="G551" s="4" t="str">
        <f t="shared" si="14"/>
        <v/>
      </c>
      <c r="H551" s="4" t="str">
        <f t="shared" si="3"/>
        <v/>
      </c>
      <c r="J551" s="4" t="b">
        <f t="shared" si="124"/>
        <v>0</v>
      </c>
      <c r="K551" s="2" t="b">
        <f t="shared" si="121"/>
        <v>0</v>
      </c>
      <c r="M551" s="4" t="b">
        <f t="shared" si="122"/>
        <v>0</v>
      </c>
      <c r="N551" s="4"/>
      <c r="O551" s="4"/>
      <c r="P551" s="4"/>
      <c r="Q551" s="4"/>
    </row>
    <row r="552">
      <c r="A552" s="2">
        <f t="shared" si="78"/>
        <v>20</v>
      </c>
      <c r="B552" s="3">
        <f t="shared" si="178"/>
        <v>46164</v>
      </c>
      <c r="C552" s="2" t="s">
        <v>73</v>
      </c>
      <c r="D552" s="2" t="s">
        <v>29</v>
      </c>
      <c r="E552" s="4"/>
      <c r="F552" s="4" t="str">
        <f>VLOOKUP($E552,Instructors!$A$2:$C693,3,FALSE)</f>
        <v>#N/A</v>
      </c>
      <c r="G552" s="4" t="str">
        <f t="shared" si="14"/>
        <v/>
      </c>
      <c r="H552" s="4" t="str">
        <f t="shared" si="3"/>
        <v/>
      </c>
      <c r="J552" s="4" t="b">
        <f t="shared" si="124"/>
        <v>0</v>
      </c>
      <c r="K552" s="2" t="b">
        <f t="shared" si="121"/>
        <v>0</v>
      </c>
      <c r="M552" s="4" t="b">
        <f t="shared" si="122"/>
        <v>0</v>
      </c>
      <c r="N552" s="4"/>
      <c r="O552" s="4"/>
      <c r="P552" s="4"/>
      <c r="Q552" s="4"/>
    </row>
    <row r="553">
      <c r="A553" s="2">
        <f t="shared" si="78"/>
        <v>20</v>
      </c>
      <c r="B553" s="3">
        <f t="shared" si="178"/>
        <v>46164</v>
      </c>
      <c r="C553" s="2" t="s">
        <v>73</v>
      </c>
      <c r="D553" s="2" t="s">
        <v>31</v>
      </c>
      <c r="E553" s="4"/>
      <c r="F553" s="4" t="str">
        <f>VLOOKUP($E553,Instructors!$A$2:$C693,3,FALSE)</f>
        <v>#N/A</v>
      </c>
      <c r="G553" s="4" t="str">
        <f t="shared" si="14"/>
        <v/>
      </c>
      <c r="H553" s="4" t="str">
        <f t="shared" si="3"/>
        <v/>
      </c>
      <c r="J553" s="4" t="b">
        <f t="shared" si="124"/>
        <v>0</v>
      </c>
      <c r="K553" s="2" t="b">
        <f t="shared" si="121"/>
        <v>0</v>
      </c>
      <c r="M553" s="4" t="b">
        <f t="shared" si="122"/>
        <v>0</v>
      </c>
      <c r="N553" s="4"/>
      <c r="O553" s="4"/>
      <c r="P553" s="4"/>
      <c r="Q553" s="4"/>
    </row>
    <row r="554">
      <c r="A554" s="2">
        <f t="shared" si="78"/>
        <v>20</v>
      </c>
      <c r="B554" s="3">
        <f t="shared" ref="B554:B557" si="179">B550+1</f>
        <v>46165</v>
      </c>
      <c r="C554" s="2" t="s">
        <v>86</v>
      </c>
      <c r="D554" s="2" t="s">
        <v>18</v>
      </c>
      <c r="E554" s="4"/>
      <c r="F554" s="4" t="str">
        <f>VLOOKUP($E554,Instructors!$A$2:$C693,3,FALSE)</f>
        <v>#N/A</v>
      </c>
      <c r="G554" s="4" t="str">
        <f t="shared" si="14"/>
        <v/>
      </c>
      <c r="H554" s="4" t="str">
        <f t="shared" si="3"/>
        <v/>
      </c>
      <c r="J554" s="4" t="b">
        <f t="shared" si="124"/>
        <v>0</v>
      </c>
      <c r="K554" s="2" t="b">
        <f t="shared" si="121"/>
        <v>0</v>
      </c>
      <c r="M554" s="4" t="b">
        <f t="shared" si="122"/>
        <v>0</v>
      </c>
      <c r="N554" s="4"/>
      <c r="O554" s="4"/>
      <c r="P554" s="4"/>
      <c r="Q554" s="4"/>
    </row>
    <row r="555">
      <c r="A555" s="2">
        <f t="shared" si="78"/>
        <v>20</v>
      </c>
      <c r="B555" s="3">
        <f t="shared" si="179"/>
        <v>46165</v>
      </c>
      <c r="C555" s="2" t="s">
        <v>86</v>
      </c>
      <c r="D555" s="2" t="s">
        <v>24</v>
      </c>
      <c r="E555" s="4"/>
      <c r="F555" s="4" t="str">
        <f>VLOOKUP($E555,Instructors!$A$2:$C693,3,FALSE)</f>
        <v>#N/A</v>
      </c>
      <c r="G555" s="4" t="str">
        <f t="shared" si="14"/>
        <v/>
      </c>
      <c r="H555" s="4" t="str">
        <f t="shared" si="3"/>
        <v/>
      </c>
      <c r="J555" s="4" t="b">
        <f t="shared" si="124"/>
        <v>0</v>
      </c>
      <c r="K555" s="2" t="b">
        <f t="shared" si="121"/>
        <v>0</v>
      </c>
      <c r="M555" s="4" t="b">
        <f t="shared" si="122"/>
        <v>0</v>
      </c>
      <c r="N555" s="4"/>
      <c r="O555" s="4"/>
      <c r="P555" s="4"/>
      <c r="Q555" s="4"/>
    </row>
    <row r="556">
      <c r="A556" s="2">
        <f t="shared" si="78"/>
        <v>20</v>
      </c>
      <c r="B556" s="3">
        <f t="shared" si="179"/>
        <v>46165</v>
      </c>
      <c r="C556" s="2" t="s">
        <v>86</v>
      </c>
      <c r="D556" s="2" t="s">
        <v>29</v>
      </c>
      <c r="E556" s="4"/>
      <c r="F556" s="4" t="str">
        <f>VLOOKUP($E556,Instructors!$A$2:$C693,3,FALSE)</f>
        <v>#N/A</v>
      </c>
      <c r="G556" s="4" t="str">
        <f t="shared" si="14"/>
        <v/>
      </c>
      <c r="H556" s="4" t="str">
        <f t="shared" si="3"/>
        <v/>
      </c>
      <c r="J556" s="4" t="b">
        <f t="shared" si="124"/>
        <v>0</v>
      </c>
      <c r="K556" s="2" t="b">
        <f t="shared" si="121"/>
        <v>0</v>
      </c>
      <c r="M556" s="4" t="b">
        <f t="shared" si="122"/>
        <v>0</v>
      </c>
      <c r="N556" s="4"/>
      <c r="O556" s="4"/>
      <c r="P556" s="4"/>
      <c r="Q556" s="4"/>
    </row>
    <row r="557">
      <c r="A557" s="2">
        <f t="shared" si="78"/>
        <v>20</v>
      </c>
      <c r="B557" s="3">
        <f t="shared" si="179"/>
        <v>46165</v>
      </c>
      <c r="C557" s="2" t="s">
        <v>86</v>
      </c>
      <c r="D557" s="2" t="s">
        <v>31</v>
      </c>
      <c r="E557" s="4"/>
      <c r="F557" s="4" t="str">
        <f>VLOOKUP($E557,Instructors!$A$2:$C693,3,FALSE)</f>
        <v>#N/A</v>
      </c>
      <c r="G557" s="4" t="str">
        <f t="shared" si="14"/>
        <v/>
      </c>
      <c r="H557" s="4" t="str">
        <f t="shared" si="3"/>
        <v/>
      </c>
      <c r="J557" s="4" t="b">
        <f t="shared" si="124"/>
        <v>0</v>
      </c>
      <c r="K557" s="2" t="b">
        <f t="shared" si="121"/>
        <v>0</v>
      </c>
      <c r="M557" s="4" t="b">
        <f t="shared" si="122"/>
        <v>0</v>
      </c>
      <c r="N557" s="4"/>
      <c r="O557" s="4"/>
      <c r="P557" s="4"/>
      <c r="Q557" s="4"/>
    </row>
    <row r="558">
      <c r="A558" s="2">
        <f t="shared" si="78"/>
        <v>20</v>
      </c>
      <c r="B558" s="3">
        <f t="shared" ref="B558:B565" si="180">B550+2</f>
        <v>46166</v>
      </c>
      <c r="C558" s="2" t="s">
        <v>93</v>
      </c>
      <c r="D558" s="2" t="s">
        <v>18</v>
      </c>
      <c r="E558" s="4"/>
      <c r="F558" s="4" t="str">
        <f>VLOOKUP($E558,Instructors!$A$2:$C693,3,FALSE)</f>
        <v>#N/A</v>
      </c>
      <c r="G558" s="4" t="str">
        <f t="shared" si="14"/>
        <v/>
      </c>
      <c r="H558" s="4" t="str">
        <f t="shared" si="3"/>
        <v/>
      </c>
      <c r="J558" s="4" t="b">
        <f t="shared" si="124"/>
        <v>0</v>
      </c>
      <c r="K558" s="2" t="b">
        <f t="shared" si="121"/>
        <v>0</v>
      </c>
      <c r="M558" s="4" t="b">
        <f t="shared" si="122"/>
        <v>0</v>
      </c>
      <c r="N558" s="4"/>
      <c r="O558" s="4"/>
      <c r="P558" s="4"/>
      <c r="Q558" s="4"/>
    </row>
    <row r="559">
      <c r="A559" s="2">
        <f t="shared" si="78"/>
        <v>20</v>
      </c>
      <c r="B559" s="3">
        <f t="shared" si="180"/>
        <v>46166</v>
      </c>
      <c r="C559" s="2" t="s">
        <v>93</v>
      </c>
      <c r="D559" s="2" t="s">
        <v>24</v>
      </c>
      <c r="E559" s="4"/>
      <c r="F559" s="4" t="str">
        <f>VLOOKUP($E559,Instructors!$A$2:$C693,3,FALSE)</f>
        <v>#N/A</v>
      </c>
      <c r="G559" s="4" t="str">
        <f t="shared" si="14"/>
        <v/>
      </c>
      <c r="H559" s="4" t="str">
        <f t="shared" si="3"/>
        <v/>
      </c>
      <c r="J559" s="4" t="b">
        <f t="shared" si="124"/>
        <v>0</v>
      </c>
      <c r="K559" s="2" t="b">
        <f t="shared" si="121"/>
        <v>0</v>
      </c>
      <c r="M559" s="4" t="b">
        <f t="shared" si="122"/>
        <v>0</v>
      </c>
      <c r="N559" s="4"/>
      <c r="O559" s="4"/>
      <c r="P559" s="4"/>
      <c r="Q559" s="4"/>
    </row>
    <row r="560">
      <c r="A560" s="2">
        <f t="shared" si="78"/>
        <v>20</v>
      </c>
      <c r="B560" s="3">
        <f t="shared" si="180"/>
        <v>46166</v>
      </c>
      <c r="C560" s="2" t="s">
        <v>93</v>
      </c>
      <c r="D560" s="2" t="s">
        <v>29</v>
      </c>
      <c r="E560" s="4"/>
      <c r="F560" s="4" t="str">
        <f>VLOOKUP($E560,Instructors!$A$2:$C693,3,FALSE)</f>
        <v>#N/A</v>
      </c>
      <c r="G560" s="4" t="str">
        <f t="shared" si="14"/>
        <v/>
      </c>
      <c r="H560" s="4" t="str">
        <f t="shared" si="3"/>
        <v/>
      </c>
      <c r="J560" s="4" t="b">
        <f t="shared" si="124"/>
        <v>0</v>
      </c>
      <c r="K560" s="2" t="b">
        <f t="shared" si="121"/>
        <v>0</v>
      </c>
      <c r="M560" s="4" t="b">
        <f t="shared" si="122"/>
        <v>0</v>
      </c>
      <c r="N560" s="4"/>
      <c r="O560" s="4"/>
      <c r="P560" s="4"/>
      <c r="Q560" s="4"/>
    </row>
    <row r="561">
      <c r="A561" s="2">
        <f t="shared" si="78"/>
        <v>20</v>
      </c>
      <c r="B561" s="3">
        <f t="shared" si="180"/>
        <v>46166</v>
      </c>
      <c r="C561" s="2" t="s">
        <v>93</v>
      </c>
      <c r="D561" s="2" t="s">
        <v>31</v>
      </c>
      <c r="E561" s="4"/>
      <c r="F561" s="4" t="str">
        <f>VLOOKUP($E561,Instructors!$A$2:$C693,3,FALSE)</f>
        <v>#N/A</v>
      </c>
      <c r="G561" s="4" t="str">
        <f t="shared" si="14"/>
        <v/>
      </c>
      <c r="H561" s="4" t="str">
        <f t="shared" si="3"/>
        <v/>
      </c>
      <c r="J561" s="4" t="b">
        <f t="shared" si="124"/>
        <v>0</v>
      </c>
      <c r="K561" s="2" t="b">
        <f t="shared" si="121"/>
        <v>0</v>
      </c>
      <c r="M561" s="4" t="b">
        <f t="shared" si="122"/>
        <v>0</v>
      </c>
      <c r="N561" s="4"/>
      <c r="O561" s="4"/>
      <c r="P561" s="4"/>
      <c r="Q561" s="4"/>
    </row>
    <row r="562">
      <c r="A562" s="2">
        <f t="shared" si="78"/>
        <v>21</v>
      </c>
      <c r="B562" s="3">
        <f t="shared" si="180"/>
        <v>46167</v>
      </c>
      <c r="C562" s="2" t="s">
        <v>17</v>
      </c>
      <c r="D562" s="2" t="s">
        <v>18</v>
      </c>
      <c r="E562" s="4"/>
      <c r="F562" s="4" t="str">
        <f>VLOOKUP($E562,Instructors!$A$2:$C693,3,FALSE)</f>
        <v>#N/A</v>
      </c>
      <c r="G562" s="4" t="str">
        <f t="shared" si="14"/>
        <v/>
      </c>
      <c r="H562" s="4" t="str">
        <f t="shared" si="3"/>
        <v/>
      </c>
      <c r="J562" s="4" t="b">
        <f t="shared" si="124"/>
        <v>0</v>
      </c>
      <c r="K562" s="2" t="b">
        <f t="shared" si="121"/>
        <v>0</v>
      </c>
      <c r="M562" s="4" t="b">
        <f t="shared" si="122"/>
        <v>0</v>
      </c>
      <c r="N562" s="4"/>
      <c r="O562" s="4"/>
      <c r="P562" s="4"/>
      <c r="Q562" s="4"/>
    </row>
    <row r="563">
      <c r="A563" s="2">
        <f t="shared" si="78"/>
        <v>21</v>
      </c>
      <c r="B563" s="3">
        <f t="shared" si="180"/>
        <v>46167</v>
      </c>
      <c r="C563" s="2" t="s">
        <v>17</v>
      </c>
      <c r="D563" s="2" t="s">
        <v>24</v>
      </c>
      <c r="E563" s="4"/>
      <c r="F563" s="4" t="str">
        <f>VLOOKUP($E563,Instructors!$A$2:$C693,3,FALSE)</f>
        <v>#N/A</v>
      </c>
      <c r="G563" s="4" t="str">
        <f t="shared" si="14"/>
        <v/>
      </c>
      <c r="H563" s="4" t="str">
        <f t="shared" si="3"/>
        <v/>
      </c>
      <c r="J563" s="4" t="b">
        <f t="shared" si="124"/>
        <v>0</v>
      </c>
      <c r="K563" s="2" t="b">
        <f t="shared" si="121"/>
        <v>0</v>
      </c>
      <c r="M563" s="4" t="b">
        <f t="shared" si="122"/>
        <v>0</v>
      </c>
      <c r="N563" s="4"/>
      <c r="O563" s="4"/>
      <c r="P563" s="4"/>
      <c r="Q563" s="4"/>
    </row>
    <row r="564">
      <c r="A564" s="2">
        <f t="shared" si="78"/>
        <v>21</v>
      </c>
      <c r="B564" s="3">
        <f t="shared" si="180"/>
        <v>46167</v>
      </c>
      <c r="C564" s="2" t="s">
        <v>17</v>
      </c>
      <c r="D564" s="2" t="s">
        <v>29</v>
      </c>
      <c r="E564" s="4"/>
      <c r="F564" s="4" t="str">
        <f>VLOOKUP($E564,Instructors!$A$2:$C693,3,FALSE)</f>
        <v>#N/A</v>
      </c>
      <c r="G564" s="4" t="str">
        <f t="shared" si="14"/>
        <v/>
      </c>
      <c r="H564" s="4" t="str">
        <f t="shared" si="3"/>
        <v/>
      </c>
      <c r="J564" s="4" t="b">
        <f t="shared" si="124"/>
        <v>0</v>
      </c>
      <c r="K564" s="2" t="b">
        <f t="shared" si="121"/>
        <v>0</v>
      </c>
      <c r="M564" s="4" t="b">
        <f t="shared" si="122"/>
        <v>0</v>
      </c>
      <c r="N564" s="4"/>
      <c r="O564" s="4"/>
      <c r="P564" s="4"/>
      <c r="Q564" s="4"/>
    </row>
    <row r="565">
      <c r="A565" s="2">
        <f t="shared" si="78"/>
        <v>21</v>
      </c>
      <c r="B565" s="3">
        <f t="shared" si="180"/>
        <v>46167</v>
      </c>
      <c r="C565" s="2" t="s">
        <v>17</v>
      </c>
      <c r="D565" s="2" t="s">
        <v>31</v>
      </c>
      <c r="E565" s="4"/>
      <c r="F565" s="4" t="str">
        <f>VLOOKUP($E565,Instructors!$A$2:$C693,3,FALSE)</f>
        <v>#N/A</v>
      </c>
      <c r="G565" s="4" t="str">
        <f t="shared" si="14"/>
        <v/>
      </c>
      <c r="H565" s="4" t="str">
        <f t="shared" si="3"/>
        <v/>
      </c>
      <c r="J565" s="4" t="b">
        <f t="shared" si="124"/>
        <v>0</v>
      </c>
      <c r="K565" s="2" t="b">
        <f t="shared" si="121"/>
        <v>0</v>
      </c>
      <c r="M565" s="4" t="b">
        <f t="shared" si="122"/>
        <v>0</v>
      </c>
      <c r="N565" s="4"/>
      <c r="O565" s="4"/>
      <c r="P565" s="4"/>
      <c r="Q565" s="4"/>
    </row>
    <row r="566">
      <c r="A566" s="2">
        <f t="shared" si="78"/>
        <v>21</v>
      </c>
      <c r="B566" s="3">
        <f t="shared" ref="B566:B569" si="181">B562+1</f>
        <v>46168</v>
      </c>
      <c r="C566" s="2" t="s">
        <v>33</v>
      </c>
      <c r="D566" s="2" t="s">
        <v>18</v>
      </c>
      <c r="E566" s="4"/>
      <c r="F566" s="4" t="str">
        <f>VLOOKUP($E566,Instructors!$A$2:$C693,3,FALSE)</f>
        <v>#N/A</v>
      </c>
      <c r="G566" s="4" t="str">
        <f t="shared" si="14"/>
        <v/>
      </c>
      <c r="H566" s="4" t="str">
        <f t="shared" si="3"/>
        <v/>
      </c>
      <c r="J566" s="4" t="b">
        <f t="shared" si="124"/>
        <v>0</v>
      </c>
      <c r="K566" s="2" t="b">
        <f t="shared" si="121"/>
        <v>0</v>
      </c>
      <c r="M566" s="4" t="b">
        <f t="shared" si="122"/>
        <v>0</v>
      </c>
      <c r="N566" s="4"/>
      <c r="O566" s="4"/>
      <c r="P566" s="4"/>
      <c r="Q566" s="4"/>
    </row>
    <row r="567">
      <c r="A567" s="2">
        <f t="shared" si="78"/>
        <v>21</v>
      </c>
      <c r="B567" s="3">
        <f t="shared" si="181"/>
        <v>46168</v>
      </c>
      <c r="C567" s="2" t="s">
        <v>33</v>
      </c>
      <c r="D567" s="2" t="s">
        <v>24</v>
      </c>
      <c r="E567" s="4"/>
      <c r="F567" s="4" t="str">
        <f>VLOOKUP($E567,Instructors!$A$2:$C693,3,FALSE)</f>
        <v>#N/A</v>
      </c>
      <c r="G567" s="4" t="str">
        <f t="shared" si="14"/>
        <v/>
      </c>
      <c r="H567" s="4" t="str">
        <f t="shared" si="3"/>
        <v/>
      </c>
      <c r="J567" s="4" t="b">
        <f t="shared" si="124"/>
        <v>0</v>
      </c>
      <c r="K567" s="2" t="b">
        <f t="shared" si="121"/>
        <v>0</v>
      </c>
      <c r="M567" s="4" t="b">
        <f t="shared" si="122"/>
        <v>0</v>
      </c>
      <c r="N567" s="4"/>
      <c r="O567" s="4"/>
      <c r="P567" s="4"/>
      <c r="Q567" s="4"/>
    </row>
    <row r="568">
      <c r="A568" s="2">
        <f t="shared" si="78"/>
        <v>21</v>
      </c>
      <c r="B568" s="3">
        <f t="shared" si="181"/>
        <v>46168</v>
      </c>
      <c r="C568" s="2" t="s">
        <v>33</v>
      </c>
      <c r="D568" s="2" t="s">
        <v>29</v>
      </c>
      <c r="E568" s="4"/>
      <c r="F568" s="4" t="str">
        <f>VLOOKUP($E568,Instructors!$A$2:$C693,3,FALSE)</f>
        <v>#N/A</v>
      </c>
      <c r="G568" s="4" t="str">
        <f t="shared" si="14"/>
        <v/>
      </c>
      <c r="H568" s="4" t="str">
        <f t="shared" si="3"/>
        <v/>
      </c>
      <c r="J568" s="4" t="b">
        <f t="shared" si="124"/>
        <v>0</v>
      </c>
      <c r="K568" s="2" t="b">
        <f t="shared" si="121"/>
        <v>0</v>
      </c>
      <c r="M568" s="4" t="b">
        <f t="shared" si="122"/>
        <v>0</v>
      </c>
      <c r="N568" s="4"/>
      <c r="O568" s="4"/>
      <c r="P568" s="4"/>
      <c r="Q568" s="4"/>
    </row>
    <row r="569">
      <c r="A569" s="2">
        <f t="shared" si="78"/>
        <v>21</v>
      </c>
      <c r="B569" s="3">
        <f t="shared" si="181"/>
        <v>46168</v>
      </c>
      <c r="C569" s="2" t="s">
        <v>33</v>
      </c>
      <c r="D569" s="2" t="s">
        <v>31</v>
      </c>
      <c r="E569" s="4"/>
      <c r="F569" s="4" t="str">
        <f>VLOOKUP($E569,Instructors!$A$2:$C693,3,FALSE)</f>
        <v>#N/A</v>
      </c>
      <c r="G569" s="4" t="str">
        <f t="shared" si="14"/>
        <v/>
      </c>
      <c r="H569" s="4" t="str">
        <f t="shared" si="3"/>
        <v/>
      </c>
      <c r="J569" s="4" t="b">
        <f t="shared" si="124"/>
        <v>0</v>
      </c>
      <c r="K569" s="2" t="b">
        <f t="shared" si="121"/>
        <v>0</v>
      </c>
      <c r="M569" s="4" t="b">
        <f t="shared" si="122"/>
        <v>0</v>
      </c>
      <c r="N569" s="4"/>
      <c r="O569" s="4"/>
      <c r="P569" s="4"/>
      <c r="Q569" s="4"/>
    </row>
    <row r="570">
      <c r="A570" s="2">
        <f t="shared" si="78"/>
        <v>21</v>
      </c>
      <c r="B570" s="3">
        <f t="shared" ref="B570:B573" si="182">B562+2</f>
        <v>46169</v>
      </c>
      <c r="C570" s="2" t="s">
        <v>45</v>
      </c>
      <c r="D570" s="2" t="s">
        <v>18</v>
      </c>
      <c r="E570" s="4"/>
      <c r="F570" s="4" t="str">
        <f>VLOOKUP($E570,Instructors!$A$2:$C693,3,FALSE)</f>
        <v>#N/A</v>
      </c>
      <c r="G570" s="4" t="str">
        <f t="shared" si="14"/>
        <v/>
      </c>
      <c r="H570" s="4" t="str">
        <f t="shared" si="3"/>
        <v/>
      </c>
      <c r="J570" s="4" t="b">
        <f t="shared" si="124"/>
        <v>0</v>
      </c>
      <c r="K570" s="2" t="b">
        <f t="shared" si="121"/>
        <v>0</v>
      </c>
      <c r="M570" s="4" t="b">
        <f t="shared" si="122"/>
        <v>0</v>
      </c>
      <c r="N570" s="4"/>
      <c r="O570" s="4"/>
      <c r="P570" s="4"/>
      <c r="Q570" s="4"/>
    </row>
    <row r="571">
      <c r="A571" s="2">
        <f t="shared" si="78"/>
        <v>21</v>
      </c>
      <c r="B571" s="3">
        <f t="shared" si="182"/>
        <v>46169</v>
      </c>
      <c r="C571" s="2" t="s">
        <v>45</v>
      </c>
      <c r="D571" s="2" t="s">
        <v>24</v>
      </c>
      <c r="E571" s="4"/>
      <c r="F571" s="4" t="str">
        <f>VLOOKUP($E571,Instructors!$A$2:$C693,3,FALSE)</f>
        <v>#N/A</v>
      </c>
      <c r="G571" s="4" t="str">
        <f t="shared" si="14"/>
        <v/>
      </c>
      <c r="H571" s="4" t="str">
        <f t="shared" si="3"/>
        <v/>
      </c>
      <c r="J571" s="4" t="b">
        <f t="shared" si="124"/>
        <v>0</v>
      </c>
      <c r="K571" s="2" t="b">
        <f t="shared" si="121"/>
        <v>0</v>
      </c>
      <c r="M571" s="4" t="b">
        <f t="shared" si="122"/>
        <v>0</v>
      </c>
      <c r="N571" s="4"/>
      <c r="O571" s="4"/>
      <c r="P571" s="4"/>
      <c r="Q571" s="4"/>
    </row>
    <row r="572">
      <c r="A572" s="2">
        <f t="shared" si="78"/>
        <v>21</v>
      </c>
      <c r="B572" s="3">
        <f t="shared" si="182"/>
        <v>46169</v>
      </c>
      <c r="C572" s="2" t="s">
        <v>45</v>
      </c>
      <c r="D572" s="2" t="s">
        <v>29</v>
      </c>
      <c r="E572" s="4"/>
      <c r="F572" s="4" t="str">
        <f>VLOOKUP($E572,Instructors!$A$2:$C693,3,FALSE)</f>
        <v>#N/A</v>
      </c>
      <c r="G572" s="4" t="str">
        <f t="shared" si="14"/>
        <v/>
      </c>
      <c r="H572" s="4" t="str">
        <f t="shared" si="3"/>
        <v/>
      </c>
      <c r="J572" s="4" t="b">
        <f t="shared" si="124"/>
        <v>0</v>
      </c>
      <c r="K572" s="2" t="b">
        <f t="shared" si="121"/>
        <v>0</v>
      </c>
      <c r="M572" s="4" t="b">
        <f t="shared" si="122"/>
        <v>0</v>
      </c>
      <c r="N572" s="4"/>
      <c r="O572" s="4"/>
      <c r="P572" s="4"/>
      <c r="Q572" s="4"/>
    </row>
    <row r="573">
      <c r="A573" s="2">
        <f t="shared" si="78"/>
        <v>21</v>
      </c>
      <c r="B573" s="3">
        <f t="shared" si="182"/>
        <v>46169</v>
      </c>
      <c r="C573" s="2" t="s">
        <v>45</v>
      </c>
      <c r="D573" s="2" t="s">
        <v>31</v>
      </c>
      <c r="E573" s="4"/>
      <c r="F573" s="4" t="str">
        <f>VLOOKUP($E573,Instructors!$A$2:$C693,3,FALSE)</f>
        <v>#N/A</v>
      </c>
      <c r="G573" s="4" t="str">
        <f t="shared" si="14"/>
        <v/>
      </c>
      <c r="H573" s="4" t="str">
        <f t="shared" si="3"/>
        <v/>
      </c>
      <c r="J573" s="4" t="b">
        <f t="shared" si="124"/>
        <v>0</v>
      </c>
      <c r="K573" s="2" t="b">
        <f t="shared" si="121"/>
        <v>0</v>
      </c>
      <c r="M573" s="4" t="b">
        <f t="shared" si="122"/>
        <v>0</v>
      </c>
      <c r="N573" s="4"/>
      <c r="O573" s="4"/>
      <c r="P573" s="4"/>
      <c r="Q573" s="4"/>
    </row>
    <row r="574">
      <c r="A574" s="2">
        <f t="shared" si="78"/>
        <v>21</v>
      </c>
      <c r="B574" s="3">
        <f t="shared" ref="B574:B577" si="183">B570+1</f>
        <v>46170</v>
      </c>
      <c r="C574" s="2" t="s">
        <v>57</v>
      </c>
      <c r="D574" s="2" t="s">
        <v>18</v>
      </c>
      <c r="E574" s="4"/>
      <c r="F574" s="4" t="str">
        <f>VLOOKUP($E574,Instructors!$A$2:$C693,3,FALSE)</f>
        <v>#N/A</v>
      </c>
      <c r="G574" s="4" t="str">
        <f t="shared" si="14"/>
        <v/>
      </c>
      <c r="H574" s="4" t="str">
        <f t="shared" si="3"/>
        <v/>
      </c>
      <c r="J574" s="4" t="b">
        <f t="shared" si="124"/>
        <v>0</v>
      </c>
      <c r="K574" s="2" t="b">
        <f t="shared" si="121"/>
        <v>0</v>
      </c>
      <c r="M574" s="4" t="b">
        <f t="shared" si="122"/>
        <v>0</v>
      </c>
      <c r="N574" s="4"/>
      <c r="O574" s="4"/>
      <c r="P574" s="4"/>
      <c r="Q574" s="4"/>
    </row>
    <row r="575">
      <c r="A575" s="2">
        <f t="shared" si="78"/>
        <v>21</v>
      </c>
      <c r="B575" s="3">
        <f t="shared" si="183"/>
        <v>46170</v>
      </c>
      <c r="C575" s="2" t="s">
        <v>57</v>
      </c>
      <c r="D575" s="2" t="s">
        <v>24</v>
      </c>
      <c r="E575" s="4"/>
      <c r="F575" s="4" t="str">
        <f>VLOOKUP($E575,Instructors!$A$2:$C693,3,FALSE)</f>
        <v>#N/A</v>
      </c>
      <c r="G575" s="4" t="str">
        <f t="shared" si="14"/>
        <v/>
      </c>
      <c r="H575" s="4" t="str">
        <f t="shared" si="3"/>
        <v/>
      </c>
      <c r="J575" s="4" t="b">
        <f t="shared" si="124"/>
        <v>0</v>
      </c>
      <c r="K575" s="2" t="b">
        <f t="shared" si="121"/>
        <v>0</v>
      </c>
      <c r="M575" s="4" t="b">
        <f t="shared" si="122"/>
        <v>0</v>
      </c>
      <c r="N575" s="4"/>
      <c r="O575" s="4"/>
      <c r="P575" s="4"/>
      <c r="Q575" s="4"/>
    </row>
    <row r="576">
      <c r="A576" s="2">
        <f t="shared" si="78"/>
        <v>21</v>
      </c>
      <c r="B576" s="3">
        <f t="shared" si="183"/>
        <v>46170</v>
      </c>
      <c r="C576" s="2" t="s">
        <v>57</v>
      </c>
      <c r="D576" s="2" t="s">
        <v>29</v>
      </c>
      <c r="E576" s="4"/>
      <c r="F576" s="4" t="str">
        <f>VLOOKUP($E576,Instructors!$A$2:$C693,3,FALSE)</f>
        <v>#N/A</v>
      </c>
      <c r="G576" s="4" t="str">
        <f t="shared" si="14"/>
        <v/>
      </c>
      <c r="H576" s="4" t="str">
        <f t="shared" si="3"/>
        <v/>
      </c>
      <c r="J576" s="4" t="b">
        <f t="shared" si="124"/>
        <v>0</v>
      </c>
      <c r="K576" s="2" t="b">
        <f t="shared" si="121"/>
        <v>0</v>
      </c>
      <c r="M576" s="4" t="b">
        <f t="shared" si="122"/>
        <v>0</v>
      </c>
      <c r="N576" s="4"/>
      <c r="O576" s="4"/>
      <c r="P576" s="4"/>
      <c r="Q576" s="4"/>
    </row>
    <row r="577">
      <c r="A577" s="2">
        <f t="shared" si="78"/>
        <v>21</v>
      </c>
      <c r="B577" s="3">
        <f t="shared" si="183"/>
        <v>46170</v>
      </c>
      <c r="C577" s="2" t="s">
        <v>57</v>
      </c>
      <c r="D577" s="2" t="s">
        <v>31</v>
      </c>
      <c r="E577" s="4"/>
      <c r="F577" s="4" t="str">
        <f>VLOOKUP($E577,Instructors!$A$2:$C693,3,FALSE)</f>
        <v>#N/A</v>
      </c>
      <c r="G577" s="4" t="str">
        <f t="shared" si="14"/>
        <v/>
      </c>
      <c r="H577" s="4" t="str">
        <f t="shared" si="3"/>
        <v/>
      </c>
      <c r="J577" s="4" t="b">
        <f t="shared" si="124"/>
        <v>0</v>
      </c>
      <c r="K577" s="2" t="b">
        <f t="shared" si="121"/>
        <v>0</v>
      </c>
      <c r="M577" s="4" t="b">
        <f t="shared" si="122"/>
        <v>0</v>
      </c>
      <c r="N577" s="4"/>
      <c r="O577" s="4"/>
      <c r="P577" s="4"/>
      <c r="Q577" s="4"/>
    </row>
    <row r="578">
      <c r="A578" s="2">
        <f t="shared" si="78"/>
        <v>21</v>
      </c>
      <c r="B578" s="3">
        <f t="shared" ref="B578:B581" si="184">B570+2</f>
        <v>46171</v>
      </c>
      <c r="C578" s="2" t="s">
        <v>73</v>
      </c>
      <c r="D578" s="2" t="s">
        <v>18</v>
      </c>
      <c r="E578" s="4"/>
      <c r="F578" s="4" t="str">
        <f>VLOOKUP($E578,Instructors!$A$2:$C693,3,FALSE)</f>
        <v>#N/A</v>
      </c>
      <c r="G578" s="4" t="str">
        <f t="shared" si="14"/>
        <v/>
      </c>
      <c r="H578" s="4" t="str">
        <f t="shared" si="3"/>
        <v/>
      </c>
      <c r="J578" s="4" t="b">
        <f t="shared" si="124"/>
        <v>0</v>
      </c>
      <c r="K578" s="2" t="b">
        <f t="shared" si="121"/>
        <v>0</v>
      </c>
      <c r="M578" s="4" t="b">
        <f t="shared" si="122"/>
        <v>0</v>
      </c>
      <c r="N578" s="4"/>
      <c r="O578" s="4"/>
      <c r="P578" s="4"/>
      <c r="Q578" s="4"/>
    </row>
    <row r="579">
      <c r="A579" s="2">
        <f t="shared" si="78"/>
        <v>21</v>
      </c>
      <c r="B579" s="3">
        <f t="shared" si="184"/>
        <v>46171</v>
      </c>
      <c r="C579" s="2" t="s">
        <v>73</v>
      </c>
      <c r="D579" s="2" t="s">
        <v>24</v>
      </c>
      <c r="E579" s="4"/>
      <c r="F579" s="4" t="str">
        <f>VLOOKUP($E579,Instructors!$A$2:$C693,3,FALSE)</f>
        <v>#N/A</v>
      </c>
      <c r="G579" s="4" t="str">
        <f t="shared" si="14"/>
        <v/>
      </c>
      <c r="H579" s="4" t="str">
        <f t="shared" si="3"/>
        <v/>
      </c>
      <c r="J579" s="4" t="b">
        <f t="shared" si="124"/>
        <v>0</v>
      </c>
      <c r="K579" s="2" t="b">
        <f t="shared" si="121"/>
        <v>0</v>
      </c>
      <c r="M579" s="4" t="b">
        <f t="shared" si="122"/>
        <v>0</v>
      </c>
      <c r="N579" s="4"/>
      <c r="O579" s="4"/>
      <c r="P579" s="4"/>
      <c r="Q579" s="4"/>
    </row>
    <row r="580">
      <c r="A580" s="2">
        <f t="shared" si="78"/>
        <v>21</v>
      </c>
      <c r="B580" s="3">
        <f t="shared" si="184"/>
        <v>46171</v>
      </c>
      <c r="C580" s="2" t="s">
        <v>73</v>
      </c>
      <c r="D580" s="2" t="s">
        <v>29</v>
      </c>
      <c r="E580" s="4"/>
      <c r="F580" s="4" t="str">
        <f>VLOOKUP($E580,Instructors!$A$2:$C693,3,FALSE)</f>
        <v>#N/A</v>
      </c>
      <c r="G580" s="4" t="str">
        <f t="shared" si="14"/>
        <v/>
      </c>
      <c r="H580" s="4" t="str">
        <f t="shared" si="3"/>
        <v/>
      </c>
      <c r="J580" s="4" t="b">
        <f t="shared" si="124"/>
        <v>0</v>
      </c>
      <c r="K580" s="2" t="b">
        <f t="shared" si="121"/>
        <v>0</v>
      </c>
      <c r="M580" s="4" t="b">
        <f t="shared" si="122"/>
        <v>0</v>
      </c>
      <c r="N580" s="4"/>
      <c r="O580" s="4"/>
      <c r="P580" s="4"/>
      <c r="Q580" s="4"/>
    </row>
    <row r="581">
      <c r="A581" s="2">
        <f t="shared" si="78"/>
        <v>21</v>
      </c>
      <c r="B581" s="3">
        <f t="shared" si="184"/>
        <v>46171</v>
      </c>
      <c r="C581" s="2" t="s">
        <v>73</v>
      </c>
      <c r="D581" s="2" t="s">
        <v>31</v>
      </c>
      <c r="E581" s="4"/>
      <c r="F581" s="4" t="str">
        <f>VLOOKUP($E581,Instructors!$A$2:$C693,3,FALSE)</f>
        <v>#N/A</v>
      </c>
      <c r="G581" s="4" t="str">
        <f t="shared" si="14"/>
        <v/>
      </c>
      <c r="H581" s="4" t="str">
        <f t="shared" si="3"/>
        <v/>
      </c>
      <c r="J581" s="4" t="b">
        <f t="shared" si="124"/>
        <v>0</v>
      </c>
      <c r="K581" s="2" t="b">
        <f t="shared" si="121"/>
        <v>0</v>
      </c>
      <c r="M581" s="4" t="b">
        <f t="shared" si="122"/>
        <v>0</v>
      </c>
      <c r="N581" s="4"/>
      <c r="O581" s="4"/>
      <c r="P581" s="4"/>
      <c r="Q581" s="4"/>
    </row>
    <row r="582">
      <c r="A582" s="2">
        <f t="shared" si="78"/>
        <v>21</v>
      </c>
      <c r="B582" s="3">
        <f t="shared" ref="B582:B585" si="185">B578+1</f>
        <v>46172</v>
      </c>
      <c r="C582" s="2" t="s">
        <v>86</v>
      </c>
      <c r="D582" s="2" t="s">
        <v>18</v>
      </c>
      <c r="E582" s="4"/>
      <c r="F582" s="4" t="str">
        <f>VLOOKUP($E582,Instructors!$A$2:$C693,3,FALSE)</f>
        <v>#N/A</v>
      </c>
      <c r="G582" s="4" t="str">
        <f t="shared" si="14"/>
        <v/>
      </c>
      <c r="H582" s="4" t="str">
        <f t="shared" si="3"/>
        <v/>
      </c>
      <c r="J582" s="4" t="b">
        <f t="shared" si="124"/>
        <v>0</v>
      </c>
      <c r="K582" s="2" t="b">
        <f t="shared" si="121"/>
        <v>0</v>
      </c>
      <c r="M582" s="4" t="b">
        <f t="shared" si="122"/>
        <v>0</v>
      </c>
      <c r="N582" s="4"/>
      <c r="O582" s="4"/>
      <c r="P582" s="4"/>
      <c r="Q582" s="4"/>
    </row>
    <row r="583">
      <c r="A583" s="2">
        <f t="shared" si="78"/>
        <v>21</v>
      </c>
      <c r="B583" s="3">
        <f t="shared" si="185"/>
        <v>46172</v>
      </c>
      <c r="C583" s="2" t="s">
        <v>86</v>
      </c>
      <c r="D583" s="2" t="s">
        <v>24</v>
      </c>
      <c r="E583" s="4"/>
      <c r="F583" s="4" t="str">
        <f>VLOOKUP($E583,Instructors!$A$2:$C693,3,FALSE)</f>
        <v>#N/A</v>
      </c>
      <c r="G583" s="4" t="str">
        <f t="shared" si="14"/>
        <v/>
      </c>
      <c r="H583" s="4" t="str">
        <f t="shared" si="3"/>
        <v/>
      </c>
      <c r="J583" s="4" t="b">
        <f t="shared" si="124"/>
        <v>0</v>
      </c>
      <c r="K583" s="2" t="b">
        <f t="shared" si="121"/>
        <v>0</v>
      </c>
      <c r="M583" s="4" t="b">
        <f t="shared" si="122"/>
        <v>0</v>
      </c>
      <c r="N583" s="4"/>
      <c r="O583" s="4"/>
      <c r="P583" s="4"/>
      <c r="Q583" s="4"/>
    </row>
    <row r="584">
      <c r="A584" s="2">
        <f t="shared" si="78"/>
        <v>21</v>
      </c>
      <c r="B584" s="3">
        <f t="shared" si="185"/>
        <v>46172</v>
      </c>
      <c r="C584" s="2" t="s">
        <v>86</v>
      </c>
      <c r="D584" s="2" t="s">
        <v>29</v>
      </c>
      <c r="E584" s="4"/>
      <c r="F584" s="4" t="str">
        <f>VLOOKUP($E584,Instructors!$A$2:$C693,3,FALSE)</f>
        <v>#N/A</v>
      </c>
      <c r="G584" s="4" t="str">
        <f t="shared" si="14"/>
        <v/>
      </c>
      <c r="H584" s="4" t="str">
        <f t="shared" si="3"/>
        <v/>
      </c>
      <c r="J584" s="4" t="b">
        <f t="shared" si="124"/>
        <v>0</v>
      </c>
      <c r="K584" s="2" t="b">
        <f t="shared" si="121"/>
        <v>0</v>
      </c>
      <c r="M584" s="4" t="b">
        <f t="shared" si="122"/>
        <v>0</v>
      </c>
      <c r="N584" s="4"/>
      <c r="O584" s="4"/>
      <c r="P584" s="4"/>
      <c r="Q584" s="4"/>
    </row>
    <row r="585">
      <c r="A585" s="2">
        <f t="shared" si="78"/>
        <v>21</v>
      </c>
      <c r="B585" s="3">
        <f t="shared" si="185"/>
        <v>46172</v>
      </c>
      <c r="C585" s="2" t="s">
        <v>86</v>
      </c>
      <c r="D585" s="2" t="s">
        <v>31</v>
      </c>
      <c r="E585" s="4"/>
      <c r="F585" s="4" t="str">
        <f>VLOOKUP($E585,Instructors!$A$2:$C693,3,FALSE)</f>
        <v>#N/A</v>
      </c>
      <c r="G585" s="4" t="str">
        <f t="shared" si="14"/>
        <v/>
      </c>
      <c r="H585" s="4" t="str">
        <f t="shared" si="3"/>
        <v/>
      </c>
      <c r="J585" s="4" t="b">
        <f t="shared" si="124"/>
        <v>0</v>
      </c>
      <c r="K585" s="2" t="b">
        <f t="shared" si="121"/>
        <v>0</v>
      </c>
      <c r="M585" s="4" t="b">
        <f t="shared" si="122"/>
        <v>0</v>
      </c>
      <c r="N585" s="4"/>
      <c r="O585" s="4"/>
      <c r="P585" s="4"/>
      <c r="Q585" s="4"/>
    </row>
    <row r="586">
      <c r="A586" s="2">
        <f t="shared" si="78"/>
        <v>21</v>
      </c>
      <c r="B586" s="3">
        <f t="shared" ref="B586:B589" si="186">B578+2</f>
        <v>46173</v>
      </c>
      <c r="C586" s="2" t="s">
        <v>93</v>
      </c>
      <c r="D586" s="2" t="s">
        <v>18</v>
      </c>
      <c r="E586" s="4"/>
      <c r="F586" s="4" t="str">
        <f>VLOOKUP($E586,Instructors!$A$2:$C693,3,FALSE)</f>
        <v>#N/A</v>
      </c>
      <c r="G586" s="4" t="str">
        <f t="shared" si="14"/>
        <v/>
      </c>
      <c r="H586" s="4" t="str">
        <f t="shared" si="3"/>
        <v/>
      </c>
      <c r="J586" s="4" t="b">
        <f t="shared" si="124"/>
        <v>0</v>
      </c>
      <c r="K586" s="2" t="b">
        <f t="shared" si="121"/>
        <v>0</v>
      </c>
      <c r="M586" s="4" t="b">
        <f t="shared" si="122"/>
        <v>0</v>
      </c>
      <c r="N586" s="4"/>
      <c r="O586" s="4"/>
      <c r="P586" s="4"/>
      <c r="Q586" s="4"/>
    </row>
    <row r="587">
      <c r="A587" s="2">
        <f t="shared" si="78"/>
        <v>21</v>
      </c>
      <c r="B587" s="3">
        <f t="shared" si="186"/>
        <v>46173</v>
      </c>
      <c r="C587" s="2" t="s">
        <v>93</v>
      </c>
      <c r="D587" s="2" t="s">
        <v>24</v>
      </c>
      <c r="E587" s="4"/>
      <c r="F587" s="4" t="str">
        <f>VLOOKUP($E587,Instructors!$A$2:$C693,3,FALSE)</f>
        <v>#N/A</v>
      </c>
      <c r="G587" s="4" t="str">
        <f t="shared" si="14"/>
        <v/>
      </c>
      <c r="H587" s="4" t="str">
        <f t="shared" si="3"/>
        <v/>
      </c>
      <c r="J587" s="4" t="b">
        <f t="shared" si="124"/>
        <v>0</v>
      </c>
      <c r="K587" s="2" t="b">
        <f t="shared" si="121"/>
        <v>0</v>
      </c>
      <c r="M587" s="4" t="b">
        <f t="shared" si="122"/>
        <v>0</v>
      </c>
      <c r="N587" s="4"/>
      <c r="O587" s="4"/>
      <c r="P587" s="4"/>
      <c r="Q587" s="4"/>
    </row>
    <row r="588">
      <c r="A588" s="2">
        <f t="shared" si="78"/>
        <v>21</v>
      </c>
      <c r="B588" s="3">
        <f t="shared" si="186"/>
        <v>46173</v>
      </c>
      <c r="C588" s="2" t="s">
        <v>93</v>
      </c>
      <c r="D588" s="2" t="s">
        <v>29</v>
      </c>
      <c r="E588" s="4"/>
      <c r="F588" s="4" t="str">
        <f>VLOOKUP($E588,Instructors!$A$2:$C693,3,FALSE)</f>
        <v>#N/A</v>
      </c>
      <c r="G588" s="4" t="str">
        <f t="shared" si="14"/>
        <v/>
      </c>
      <c r="H588" s="4" t="str">
        <f t="shared" si="3"/>
        <v/>
      </c>
      <c r="J588" s="4" t="b">
        <f t="shared" si="124"/>
        <v>0</v>
      </c>
      <c r="K588" s="2" t="b">
        <f t="shared" si="121"/>
        <v>0</v>
      </c>
      <c r="M588" s="4" t="b">
        <f t="shared" si="122"/>
        <v>0</v>
      </c>
      <c r="N588" s="4"/>
      <c r="O588" s="4"/>
      <c r="P588" s="4"/>
      <c r="Q588" s="4"/>
    </row>
    <row r="589">
      <c r="A589" s="2">
        <f t="shared" si="78"/>
        <v>21</v>
      </c>
      <c r="B589" s="3">
        <f t="shared" si="186"/>
        <v>46173</v>
      </c>
      <c r="C589" s="2" t="s">
        <v>93</v>
      </c>
      <c r="D589" s="2" t="s">
        <v>31</v>
      </c>
      <c r="E589" s="4"/>
      <c r="F589" s="4" t="str">
        <f>VLOOKUP($E589,Instructors!$A$2:$C693,3,FALSE)</f>
        <v>#N/A</v>
      </c>
      <c r="G589" s="4" t="str">
        <f t="shared" si="14"/>
        <v/>
      </c>
      <c r="H589" s="4" t="str">
        <f t="shared" si="3"/>
        <v/>
      </c>
      <c r="J589" s="4" t="b">
        <f t="shared" si="124"/>
        <v>0</v>
      </c>
      <c r="K589" s="2" t="b">
        <f t="shared" si="121"/>
        <v>0</v>
      </c>
      <c r="M589" s="4" t="b">
        <f t="shared" si="122"/>
        <v>0</v>
      </c>
      <c r="N589" s="4"/>
      <c r="O589" s="4"/>
      <c r="P589" s="4"/>
      <c r="Q589" s="4"/>
    </row>
    <row r="590">
      <c r="A590" s="2">
        <f t="shared" si="78"/>
        <v>22</v>
      </c>
      <c r="B590" s="3">
        <f t="shared" ref="B590:B593" si="187">B586+1</f>
        <v>46174</v>
      </c>
      <c r="C590" s="2" t="s">
        <v>17</v>
      </c>
      <c r="D590" s="2" t="s">
        <v>18</v>
      </c>
      <c r="E590" s="4"/>
      <c r="F590" s="4" t="str">
        <f>VLOOKUP($E590,Instructors!$A$2:$C693,3,FALSE)</f>
        <v>#N/A</v>
      </c>
      <c r="G590" s="4" t="str">
        <f t="shared" si="14"/>
        <v/>
      </c>
      <c r="H590" s="4" t="str">
        <f t="shared" si="3"/>
        <v/>
      </c>
      <c r="J590" s="4" t="b">
        <f t="shared" si="124"/>
        <v>0</v>
      </c>
      <c r="K590" s="2" t="b">
        <f t="shared" si="121"/>
        <v>0</v>
      </c>
      <c r="M590" s="4" t="b">
        <f t="shared" si="122"/>
        <v>0</v>
      </c>
      <c r="N590" s="4"/>
      <c r="O590" s="4"/>
      <c r="P590" s="4"/>
      <c r="Q590" s="4"/>
    </row>
    <row r="591">
      <c r="A591" s="2">
        <f t="shared" si="78"/>
        <v>22</v>
      </c>
      <c r="B591" s="3">
        <f t="shared" si="187"/>
        <v>46174</v>
      </c>
      <c r="C591" s="2" t="s">
        <v>17</v>
      </c>
      <c r="D591" s="2" t="s">
        <v>24</v>
      </c>
      <c r="E591" s="4"/>
      <c r="F591" s="4" t="str">
        <f>VLOOKUP($E591,Instructors!$A$2:$C693,3,FALSE)</f>
        <v>#N/A</v>
      </c>
      <c r="G591" s="4" t="str">
        <f t="shared" si="14"/>
        <v/>
      </c>
      <c r="H591" s="4" t="str">
        <f t="shared" si="3"/>
        <v/>
      </c>
      <c r="J591" s="4" t="b">
        <f t="shared" si="124"/>
        <v>0</v>
      </c>
      <c r="K591" s="2" t="b">
        <f t="shared" si="121"/>
        <v>0</v>
      </c>
      <c r="M591" s="4" t="b">
        <f t="shared" si="122"/>
        <v>0</v>
      </c>
      <c r="N591" s="4"/>
      <c r="O591" s="4"/>
      <c r="P591" s="4"/>
      <c r="Q591" s="4"/>
    </row>
    <row r="592">
      <c r="A592" s="2">
        <f t="shared" si="78"/>
        <v>22</v>
      </c>
      <c r="B592" s="3">
        <f t="shared" si="187"/>
        <v>46174</v>
      </c>
      <c r="C592" s="2" t="s">
        <v>17</v>
      </c>
      <c r="D592" s="2" t="s">
        <v>29</v>
      </c>
      <c r="E592" s="4"/>
      <c r="F592" s="4" t="str">
        <f>VLOOKUP($E592,Instructors!$A$2:$C693,3,FALSE)</f>
        <v>#N/A</v>
      </c>
      <c r="G592" s="4" t="str">
        <f t="shared" si="14"/>
        <v/>
      </c>
      <c r="H592" s="4" t="str">
        <f t="shared" si="3"/>
        <v/>
      </c>
      <c r="J592" s="4" t="b">
        <f t="shared" si="124"/>
        <v>0</v>
      </c>
      <c r="K592" s="2" t="b">
        <f t="shared" si="121"/>
        <v>0</v>
      </c>
      <c r="M592" s="4" t="b">
        <f t="shared" si="122"/>
        <v>0</v>
      </c>
      <c r="N592" s="4"/>
      <c r="O592" s="4"/>
      <c r="P592" s="4"/>
      <c r="Q592" s="4"/>
    </row>
    <row r="593">
      <c r="A593" s="2">
        <f t="shared" si="78"/>
        <v>22</v>
      </c>
      <c r="B593" s="3">
        <f t="shared" si="187"/>
        <v>46174</v>
      </c>
      <c r="C593" s="2" t="s">
        <v>17</v>
      </c>
      <c r="D593" s="2" t="s">
        <v>31</v>
      </c>
      <c r="E593" s="4"/>
      <c r="F593" s="4" t="str">
        <f>VLOOKUP($E593,Instructors!$A$2:$C693,3,FALSE)</f>
        <v>#N/A</v>
      </c>
      <c r="G593" s="4" t="str">
        <f t="shared" si="14"/>
        <v/>
      </c>
      <c r="H593" s="4" t="str">
        <f t="shared" si="3"/>
        <v/>
      </c>
      <c r="J593" s="4" t="b">
        <f t="shared" si="124"/>
        <v>0</v>
      </c>
      <c r="K593" s="2" t="b">
        <f t="shared" si="121"/>
        <v>0</v>
      </c>
      <c r="M593" s="4" t="b">
        <f t="shared" si="122"/>
        <v>0</v>
      </c>
      <c r="N593" s="4"/>
      <c r="O593" s="4"/>
      <c r="P593" s="4"/>
      <c r="Q593" s="4"/>
    </row>
    <row r="594">
      <c r="A594" s="2">
        <f t="shared" si="78"/>
        <v>22</v>
      </c>
      <c r="B594" s="3">
        <f t="shared" ref="B594:B597" si="188">B586+2</f>
        <v>46175</v>
      </c>
      <c r="C594" s="2" t="s">
        <v>33</v>
      </c>
      <c r="D594" s="2" t="s">
        <v>18</v>
      </c>
      <c r="E594" s="4"/>
      <c r="F594" s="4" t="str">
        <f>VLOOKUP($E594,Instructors!$A$2:$C693,3,FALSE)</f>
        <v>#N/A</v>
      </c>
      <c r="G594" s="4" t="str">
        <f t="shared" si="14"/>
        <v/>
      </c>
      <c r="H594" s="4" t="str">
        <f t="shared" si="3"/>
        <v/>
      </c>
      <c r="J594" s="4" t="b">
        <f t="shared" si="124"/>
        <v>0</v>
      </c>
      <c r="K594" s="2" t="b">
        <f t="shared" si="121"/>
        <v>0</v>
      </c>
      <c r="M594" s="4" t="b">
        <f t="shared" si="122"/>
        <v>0</v>
      </c>
      <c r="N594" s="4"/>
      <c r="O594" s="4"/>
      <c r="P594" s="4"/>
      <c r="Q594" s="4"/>
    </row>
    <row r="595">
      <c r="A595" s="2">
        <f t="shared" si="78"/>
        <v>22</v>
      </c>
      <c r="B595" s="3">
        <f t="shared" si="188"/>
        <v>46175</v>
      </c>
      <c r="C595" s="2" t="s">
        <v>33</v>
      </c>
      <c r="D595" s="2" t="s">
        <v>24</v>
      </c>
      <c r="E595" s="4"/>
      <c r="F595" s="4" t="str">
        <f>VLOOKUP($E595,Instructors!$A$2:$C693,3,FALSE)</f>
        <v>#N/A</v>
      </c>
      <c r="G595" s="4" t="str">
        <f t="shared" si="14"/>
        <v/>
      </c>
      <c r="H595" s="4" t="str">
        <f t="shared" si="3"/>
        <v/>
      </c>
      <c r="J595" s="4" t="b">
        <f t="shared" si="124"/>
        <v>0</v>
      </c>
      <c r="K595" s="2" t="b">
        <f t="shared" si="121"/>
        <v>0</v>
      </c>
      <c r="M595" s="4" t="b">
        <f t="shared" si="122"/>
        <v>0</v>
      </c>
      <c r="N595" s="4"/>
      <c r="O595" s="4"/>
      <c r="P595" s="4"/>
      <c r="Q595" s="4"/>
    </row>
    <row r="596">
      <c r="A596" s="2">
        <f t="shared" si="78"/>
        <v>22</v>
      </c>
      <c r="B596" s="3">
        <f t="shared" si="188"/>
        <v>46175</v>
      </c>
      <c r="C596" s="2" t="s">
        <v>33</v>
      </c>
      <c r="D596" s="2" t="s">
        <v>29</v>
      </c>
      <c r="E596" s="4"/>
      <c r="F596" s="4" t="str">
        <f>VLOOKUP($E596,Instructors!$A$2:$C693,3,FALSE)</f>
        <v>#N/A</v>
      </c>
      <c r="G596" s="4" t="str">
        <f t="shared" si="14"/>
        <v/>
      </c>
      <c r="H596" s="4" t="str">
        <f t="shared" si="3"/>
        <v/>
      </c>
      <c r="J596" s="4" t="b">
        <f t="shared" si="124"/>
        <v>0</v>
      </c>
      <c r="K596" s="2" t="b">
        <f t="shared" si="121"/>
        <v>0</v>
      </c>
      <c r="M596" s="4" t="b">
        <f t="shared" si="122"/>
        <v>0</v>
      </c>
      <c r="N596" s="4"/>
      <c r="O596" s="4"/>
      <c r="P596" s="4"/>
      <c r="Q596" s="4"/>
    </row>
    <row r="597">
      <c r="A597" s="2">
        <f t="shared" si="78"/>
        <v>22</v>
      </c>
      <c r="B597" s="3">
        <f t="shared" si="188"/>
        <v>46175</v>
      </c>
      <c r="C597" s="2" t="s">
        <v>33</v>
      </c>
      <c r="D597" s="2" t="s">
        <v>31</v>
      </c>
      <c r="E597" s="4"/>
      <c r="F597" s="4" t="str">
        <f>VLOOKUP($E597,Instructors!$A$2:$C693,3,FALSE)</f>
        <v>#N/A</v>
      </c>
      <c r="G597" s="4" t="str">
        <f t="shared" si="14"/>
        <v/>
      </c>
      <c r="H597" s="4" t="str">
        <f t="shared" si="3"/>
        <v/>
      </c>
      <c r="J597" s="4" t="b">
        <f t="shared" si="124"/>
        <v>0</v>
      </c>
      <c r="K597" s="2" t="b">
        <f t="shared" si="121"/>
        <v>0</v>
      </c>
      <c r="M597" s="4" t="b">
        <f t="shared" si="122"/>
        <v>0</v>
      </c>
      <c r="N597" s="4"/>
      <c r="O597" s="4"/>
      <c r="P597" s="4"/>
      <c r="Q597" s="4"/>
    </row>
    <row r="598">
      <c r="A598" s="2">
        <f t="shared" si="78"/>
        <v>22</v>
      </c>
      <c r="B598" s="3">
        <f t="shared" ref="B598:B601" si="189">B594+1</f>
        <v>46176</v>
      </c>
      <c r="C598" s="2" t="s">
        <v>45</v>
      </c>
      <c r="D598" s="2" t="s">
        <v>18</v>
      </c>
      <c r="E598" s="4"/>
      <c r="F598" s="4" t="str">
        <f>VLOOKUP($E598,Instructors!$A$2:$C693,3,FALSE)</f>
        <v>#N/A</v>
      </c>
      <c r="G598" s="4" t="str">
        <f t="shared" si="14"/>
        <v/>
      </c>
      <c r="H598" s="4" t="str">
        <f t="shared" si="3"/>
        <v/>
      </c>
      <c r="J598" s="4" t="b">
        <f t="shared" si="124"/>
        <v>0</v>
      </c>
      <c r="K598" s="2" t="b">
        <f t="shared" si="121"/>
        <v>0</v>
      </c>
      <c r="M598" s="4" t="b">
        <f t="shared" si="122"/>
        <v>0</v>
      </c>
      <c r="N598" s="4"/>
      <c r="O598" s="4"/>
      <c r="P598" s="4"/>
      <c r="Q598" s="4"/>
    </row>
    <row r="599">
      <c r="A599" s="2">
        <f t="shared" si="78"/>
        <v>22</v>
      </c>
      <c r="B599" s="3">
        <f t="shared" si="189"/>
        <v>46176</v>
      </c>
      <c r="C599" s="2" t="s">
        <v>45</v>
      </c>
      <c r="D599" s="2" t="s">
        <v>24</v>
      </c>
      <c r="E599" s="4"/>
      <c r="F599" s="4" t="str">
        <f>VLOOKUP($E599,Instructors!$A$2:$C693,3,FALSE)</f>
        <v>#N/A</v>
      </c>
      <c r="G599" s="4" t="str">
        <f t="shared" si="14"/>
        <v/>
      </c>
      <c r="H599" s="4" t="str">
        <f t="shared" si="3"/>
        <v/>
      </c>
      <c r="J599" s="4" t="b">
        <f t="shared" si="124"/>
        <v>0</v>
      </c>
      <c r="K599" s="2" t="b">
        <f t="shared" si="121"/>
        <v>0</v>
      </c>
      <c r="M599" s="4" t="b">
        <f t="shared" si="122"/>
        <v>0</v>
      </c>
      <c r="N599" s="4"/>
      <c r="O599" s="4"/>
      <c r="P599" s="4"/>
      <c r="Q599" s="4"/>
    </row>
    <row r="600">
      <c r="A600" s="2">
        <f t="shared" si="78"/>
        <v>22</v>
      </c>
      <c r="B600" s="3">
        <f t="shared" si="189"/>
        <v>46176</v>
      </c>
      <c r="C600" s="2" t="s">
        <v>45</v>
      </c>
      <c r="D600" s="2" t="s">
        <v>29</v>
      </c>
      <c r="E600" s="4"/>
      <c r="F600" s="4" t="str">
        <f>VLOOKUP($E600,Instructors!$A$2:$C693,3,FALSE)</f>
        <v>#N/A</v>
      </c>
      <c r="G600" s="4" t="str">
        <f t="shared" si="14"/>
        <v/>
      </c>
      <c r="H600" s="4" t="str">
        <f t="shared" si="3"/>
        <v/>
      </c>
      <c r="J600" s="4" t="b">
        <f t="shared" si="124"/>
        <v>0</v>
      </c>
      <c r="K600" s="2" t="b">
        <f t="shared" si="121"/>
        <v>0</v>
      </c>
      <c r="M600" s="4" t="b">
        <f t="shared" si="122"/>
        <v>0</v>
      </c>
      <c r="N600" s="4"/>
      <c r="O600" s="4"/>
      <c r="P600" s="4"/>
      <c r="Q600" s="4"/>
    </row>
    <row r="601">
      <c r="A601" s="2">
        <f t="shared" si="78"/>
        <v>22</v>
      </c>
      <c r="B601" s="3">
        <f t="shared" si="189"/>
        <v>46176</v>
      </c>
      <c r="C601" s="2" t="s">
        <v>45</v>
      </c>
      <c r="D601" s="2" t="s">
        <v>31</v>
      </c>
      <c r="E601" s="4"/>
      <c r="F601" s="4" t="str">
        <f>VLOOKUP($E601,Instructors!$A$2:$C693,3,FALSE)</f>
        <v>#N/A</v>
      </c>
      <c r="G601" s="4" t="str">
        <f t="shared" si="14"/>
        <v/>
      </c>
      <c r="H601" s="4" t="str">
        <f t="shared" si="3"/>
        <v/>
      </c>
      <c r="J601" s="4" t="b">
        <f t="shared" si="124"/>
        <v>0</v>
      </c>
      <c r="K601" s="2" t="b">
        <f t="shared" si="121"/>
        <v>0</v>
      </c>
      <c r="M601" s="4" t="b">
        <f t="shared" si="122"/>
        <v>0</v>
      </c>
      <c r="N601" s="4"/>
      <c r="O601" s="4"/>
      <c r="P601" s="4"/>
      <c r="Q601" s="4"/>
    </row>
    <row r="602">
      <c r="A602" s="2">
        <f t="shared" si="78"/>
        <v>22</v>
      </c>
      <c r="B602" s="3">
        <f t="shared" ref="B602:B609" si="190">B594+2</f>
        <v>46177</v>
      </c>
      <c r="C602" s="2" t="s">
        <v>57</v>
      </c>
      <c r="D602" s="2" t="s">
        <v>18</v>
      </c>
      <c r="E602" s="4"/>
      <c r="F602" s="4" t="str">
        <f>VLOOKUP($E602,Instructors!$A$2:$C693,3,FALSE)</f>
        <v>#N/A</v>
      </c>
      <c r="G602" s="4" t="str">
        <f t="shared" si="14"/>
        <v/>
      </c>
      <c r="H602" s="4" t="str">
        <f t="shared" si="3"/>
        <v/>
      </c>
      <c r="J602" s="4" t="b">
        <f t="shared" si="124"/>
        <v>0</v>
      </c>
      <c r="K602" s="2" t="b">
        <f t="shared" si="121"/>
        <v>0</v>
      </c>
      <c r="M602" s="4" t="b">
        <f t="shared" si="122"/>
        <v>0</v>
      </c>
      <c r="N602" s="4"/>
      <c r="O602" s="4"/>
      <c r="P602" s="4"/>
      <c r="Q602" s="4"/>
    </row>
    <row r="603">
      <c r="A603" s="2">
        <f t="shared" si="78"/>
        <v>22</v>
      </c>
      <c r="B603" s="3">
        <f t="shared" si="190"/>
        <v>46177</v>
      </c>
      <c r="C603" s="2" t="s">
        <v>57</v>
      </c>
      <c r="D603" s="2" t="s">
        <v>24</v>
      </c>
      <c r="E603" s="4"/>
      <c r="F603" s="4" t="str">
        <f>VLOOKUP($E603,Instructors!$A$2:$C693,3,FALSE)</f>
        <v>#N/A</v>
      </c>
      <c r="G603" s="4" t="str">
        <f t="shared" si="14"/>
        <v/>
      </c>
      <c r="H603" s="4" t="str">
        <f t="shared" si="3"/>
        <v/>
      </c>
      <c r="J603" s="4" t="b">
        <f t="shared" si="124"/>
        <v>0</v>
      </c>
      <c r="K603" s="2" t="b">
        <f t="shared" si="121"/>
        <v>0</v>
      </c>
      <c r="M603" s="4" t="b">
        <f t="shared" si="122"/>
        <v>0</v>
      </c>
      <c r="N603" s="4"/>
      <c r="O603" s="4"/>
      <c r="P603" s="4"/>
      <c r="Q603" s="4"/>
    </row>
    <row r="604">
      <c r="A604" s="2">
        <f t="shared" si="78"/>
        <v>22</v>
      </c>
      <c r="B604" s="3">
        <f t="shared" si="190"/>
        <v>46177</v>
      </c>
      <c r="C604" s="2" t="s">
        <v>57</v>
      </c>
      <c r="D604" s="2" t="s">
        <v>29</v>
      </c>
      <c r="E604" s="4"/>
      <c r="F604" s="4" t="str">
        <f>VLOOKUP($E604,Instructors!$A$2:$C693,3,FALSE)</f>
        <v>#N/A</v>
      </c>
      <c r="G604" s="4" t="str">
        <f t="shared" si="14"/>
        <v/>
      </c>
      <c r="H604" s="4" t="str">
        <f t="shared" si="3"/>
        <v/>
      </c>
      <c r="J604" s="4" t="b">
        <f t="shared" si="124"/>
        <v>0</v>
      </c>
      <c r="K604" s="2" t="b">
        <f t="shared" si="121"/>
        <v>0</v>
      </c>
      <c r="M604" s="4" t="b">
        <f t="shared" si="122"/>
        <v>0</v>
      </c>
      <c r="N604" s="4"/>
      <c r="O604" s="4"/>
      <c r="P604" s="4"/>
      <c r="Q604" s="4"/>
    </row>
    <row r="605">
      <c r="A605" s="2">
        <f t="shared" si="78"/>
        <v>22</v>
      </c>
      <c r="B605" s="3">
        <f t="shared" si="190"/>
        <v>46177</v>
      </c>
      <c r="C605" s="2" t="s">
        <v>57</v>
      </c>
      <c r="D605" s="2" t="s">
        <v>31</v>
      </c>
      <c r="E605" s="4"/>
      <c r="F605" s="4" t="str">
        <f>VLOOKUP($E605,Instructors!$A$2:$C693,3,FALSE)</f>
        <v>#N/A</v>
      </c>
      <c r="G605" s="4" t="str">
        <f t="shared" si="14"/>
        <v/>
      </c>
      <c r="H605" s="4" t="str">
        <f t="shared" si="3"/>
        <v/>
      </c>
      <c r="J605" s="4" t="b">
        <f t="shared" si="124"/>
        <v>0</v>
      </c>
      <c r="K605" s="2" t="b">
        <f t="shared" si="121"/>
        <v>0</v>
      </c>
      <c r="M605" s="4" t="b">
        <f t="shared" si="122"/>
        <v>0</v>
      </c>
      <c r="N605" s="4"/>
      <c r="O605" s="4"/>
      <c r="P605" s="4"/>
      <c r="Q605" s="4"/>
    </row>
    <row r="606">
      <c r="A606" s="2">
        <f t="shared" si="78"/>
        <v>22</v>
      </c>
      <c r="B606" s="3">
        <f t="shared" si="190"/>
        <v>46178</v>
      </c>
      <c r="C606" s="2" t="s">
        <v>73</v>
      </c>
      <c r="D606" s="2" t="s">
        <v>18</v>
      </c>
      <c r="E606" s="4"/>
      <c r="F606" s="4" t="str">
        <f>VLOOKUP($E606,Instructors!$A$2:$C693,3,FALSE)</f>
        <v>#N/A</v>
      </c>
      <c r="G606" s="4" t="str">
        <f t="shared" si="14"/>
        <v/>
      </c>
      <c r="H606" s="4" t="str">
        <f t="shared" si="3"/>
        <v/>
      </c>
      <c r="J606" s="4" t="b">
        <f t="shared" si="124"/>
        <v>0</v>
      </c>
      <c r="K606" s="2" t="b">
        <f t="shared" si="121"/>
        <v>0</v>
      </c>
      <c r="M606" s="4" t="b">
        <f t="shared" si="122"/>
        <v>0</v>
      </c>
      <c r="N606" s="4"/>
      <c r="O606" s="4"/>
      <c r="P606" s="4"/>
      <c r="Q606" s="4"/>
    </row>
    <row r="607">
      <c r="A607" s="2">
        <f t="shared" si="78"/>
        <v>22</v>
      </c>
      <c r="B607" s="3">
        <f t="shared" si="190"/>
        <v>46178</v>
      </c>
      <c r="C607" s="2" t="s">
        <v>73</v>
      </c>
      <c r="D607" s="2" t="s">
        <v>24</v>
      </c>
      <c r="E607" s="4"/>
      <c r="F607" s="4" t="str">
        <f>VLOOKUP($E607,Instructors!$A$2:$C693,3,FALSE)</f>
        <v>#N/A</v>
      </c>
      <c r="G607" s="4" t="str">
        <f t="shared" si="14"/>
        <v/>
      </c>
      <c r="H607" s="4" t="str">
        <f t="shared" si="3"/>
        <v/>
      </c>
      <c r="J607" s="4" t="b">
        <f t="shared" si="124"/>
        <v>0</v>
      </c>
      <c r="K607" s="2" t="b">
        <f t="shared" si="121"/>
        <v>0</v>
      </c>
      <c r="M607" s="4" t="b">
        <f t="shared" si="122"/>
        <v>0</v>
      </c>
      <c r="N607" s="4"/>
      <c r="O607" s="4"/>
      <c r="P607" s="4"/>
      <c r="Q607" s="4"/>
    </row>
    <row r="608">
      <c r="A608" s="2">
        <f t="shared" si="78"/>
        <v>22</v>
      </c>
      <c r="B608" s="3">
        <f t="shared" si="190"/>
        <v>46178</v>
      </c>
      <c r="C608" s="2" t="s">
        <v>73</v>
      </c>
      <c r="D608" s="2" t="s">
        <v>29</v>
      </c>
      <c r="E608" s="4"/>
      <c r="F608" s="4" t="str">
        <f>VLOOKUP($E608,Instructors!$A$2:$C693,3,FALSE)</f>
        <v>#N/A</v>
      </c>
      <c r="G608" s="4" t="str">
        <f t="shared" si="14"/>
        <v/>
      </c>
      <c r="H608" s="4" t="str">
        <f t="shared" si="3"/>
        <v/>
      </c>
      <c r="J608" s="4" t="b">
        <f t="shared" si="124"/>
        <v>0</v>
      </c>
      <c r="K608" s="2" t="b">
        <f t="shared" si="121"/>
        <v>0</v>
      </c>
      <c r="M608" s="4" t="b">
        <f t="shared" si="122"/>
        <v>0</v>
      </c>
      <c r="N608" s="4"/>
      <c r="O608" s="4"/>
      <c r="P608" s="4"/>
      <c r="Q608" s="4"/>
    </row>
    <row r="609">
      <c r="A609" s="2">
        <f t="shared" si="78"/>
        <v>22</v>
      </c>
      <c r="B609" s="3">
        <f t="shared" si="190"/>
        <v>46178</v>
      </c>
      <c r="C609" s="2" t="s">
        <v>73</v>
      </c>
      <c r="D609" s="2" t="s">
        <v>31</v>
      </c>
      <c r="E609" s="4"/>
      <c r="F609" s="4" t="str">
        <f>VLOOKUP($E609,Instructors!$A$2:$C693,3,FALSE)</f>
        <v>#N/A</v>
      </c>
      <c r="G609" s="4" t="str">
        <f t="shared" si="14"/>
        <v/>
      </c>
      <c r="H609" s="4" t="str">
        <f t="shared" si="3"/>
        <v/>
      </c>
      <c r="J609" s="4" t="b">
        <f t="shared" si="124"/>
        <v>0</v>
      </c>
      <c r="K609" s="2" t="b">
        <f t="shared" si="121"/>
        <v>0</v>
      </c>
      <c r="M609" s="4" t="b">
        <f t="shared" si="122"/>
        <v>0</v>
      </c>
      <c r="N609" s="4"/>
      <c r="O609" s="4"/>
      <c r="P609" s="4"/>
      <c r="Q609" s="4"/>
    </row>
    <row r="610">
      <c r="A610" s="2">
        <f t="shared" si="78"/>
        <v>22</v>
      </c>
      <c r="B610" s="3">
        <f t="shared" ref="B610:B613" si="191">B606+1</f>
        <v>46179</v>
      </c>
      <c r="C610" s="2" t="s">
        <v>86</v>
      </c>
      <c r="D610" s="2" t="s">
        <v>18</v>
      </c>
      <c r="E610" s="4"/>
      <c r="F610" s="4" t="str">
        <f>VLOOKUP($E610,Instructors!$A$2:$C693,3,FALSE)</f>
        <v>#N/A</v>
      </c>
      <c r="G610" s="4" t="str">
        <f t="shared" si="14"/>
        <v/>
      </c>
      <c r="H610" s="4" t="str">
        <f t="shared" si="3"/>
        <v/>
      </c>
      <c r="J610" s="4" t="b">
        <f t="shared" si="124"/>
        <v>0</v>
      </c>
      <c r="K610" s="2" t="b">
        <f t="shared" si="121"/>
        <v>0</v>
      </c>
      <c r="M610" s="4" t="b">
        <f t="shared" si="122"/>
        <v>0</v>
      </c>
      <c r="N610" s="4"/>
      <c r="O610" s="4"/>
      <c r="P610" s="4"/>
      <c r="Q610" s="4"/>
    </row>
    <row r="611">
      <c r="A611" s="2">
        <f t="shared" si="78"/>
        <v>22</v>
      </c>
      <c r="B611" s="3">
        <f t="shared" si="191"/>
        <v>46179</v>
      </c>
      <c r="C611" s="2" t="s">
        <v>86</v>
      </c>
      <c r="D611" s="2" t="s">
        <v>24</v>
      </c>
      <c r="E611" s="4"/>
      <c r="F611" s="4" t="str">
        <f>VLOOKUP($E611,Instructors!$A$2:$C693,3,FALSE)</f>
        <v>#N/A</v>
      </c>
      <c r="G611" s="4" t="str">
        <f t="shared" si="14"/>
        <v/>
      </c>
      <c r="H611" s="4" t="str">
        <f t="shared" si="3"/>
        <v/>
      </c>
      <c r="J611" s="4" t="b">
        <f t="shared" si="124"/>
        <v>0</v>
      </c>
      <c r="K611" s="2" t="b">
        <f t="shared" si="121"/>
        <v>0</v>
      </c>
      <c r="M611" s="4" t="b">
        <f t="shared" si="122"/>
        <v>0</v>
      </c>
      <c r="N611" s="4"/>
      <c r="O611" s="4"/>
      <c r="P611" s="4"/>
      <c r="Q611" s="4"/>
    </row>
    <row r="612">
      <c r="A612" s="2">
        <f t="shared" si="78"/>
        <v>22</v>
      </c>
      <c r="B612" s="3">
        <f t="shared" si="191"/>
        <v>46179</v>
      </c>
      <c r="C612" s="2" t="s">
        <v>86</v>
      </c>
      <c r="D612" s="2" t="s">
        <v>29</v>
      </c>
      <c r="E612" s="4"/>
      <c r="F612" s="4" t="str">
        <f>VLOOKUP($E612,Instructors!$A$2:$C693,3,FALSE)</f>
        <v>#N/A</v>
      </c>
      <c r="G612" s="4" t="str">
        <f t="shared" si="14"/>
        <v/>
      </c>
      <c r="H612" s="4" t="str">
        <f t="shared" si="3"/>
        <v/>
      </c>
      <c r="J612" s="4" t="b">
        <f t="shared" si="124"/>
        <v>0</v>
      </c>
      <c r="K612" s="2" t="b">
        <f t="shared" si="121"/>
        <v>0</v>
      </c>
      <c r="M612" s="4" t="b">
        <f t="shared" si="122"/>
        <v>0</v>
      </c>
      <c r="N612" s="4"/>
      <c r="O612" s="4"/>
      <c r="P612" s="4"/>
      <c r="Q612" s="4"/>
    </row>
    <row r="613">
      <c r="A613" s="2">
        <f t="shared" si="78"/>
        <v>22</v>
      </c>
      <c r="B613" s="3">
        <f t="shared" si="191"/>
        <v>46179</v>
      </c>
      <c r="C613" s="2" t="s">
        <v>86</v>
      </c>
      <c r="D613" s="2" t="s">
        <v>31</v>
      </c>
      <c r="E613" s="4"/>
      <c r="F613" s="4" t="str">
        <f>VLOOKUP($E613,Instructors!$A$2:$C693,3,FALSE)</f>
        <v>#N/A</v>
      </c>
      <c r="G613" s="4" t="str">
        <f t="shared" si="14"/>
        <v/>
      </c>
      <c r="H613" s="4" t="str">
        <f t="shared" si="3"/>
        <v/>
      </c>
      <c r="J613" s="4" t="b">
        <f t="shared" si="124"/>
        <v>0</v>
      </c>
      <c r="K613" s="2" t="b">
        <f t="shared" si="121"/>
        <v>0</v>
      </c>
      <c r="M613" s="4" t="b">
        <f t="shared" si="122"/>
        <v>0</v>
      </c>
      <c r="N613" s="4"/>
      <c r="O613" s="4"/>
      <c r="P613" s="4"/>
      <c r="Q613" s="4"/>
    </row>
    <row r="614">
      <c r="A614" s="2">
        <f t="shared" si="78"/>
        <v>22</v>
      </c>
      <c r="B614" s="3">
        <f t="shared" ref="B614:B617" si="192">B606+2</f>
        <v>46180</v>
      </c>
      <c r="C614" s="2" t="s">
        <v>93</v>
      </c>
      <c r="D614" s="2" t="s">
        <v>18</v>
      </c>
      <c r="E614" s="4"/>
      <c r="F614" s="4" t="str">
        <f>VLOOKUP($E614,Instructors!$A$2:$C693,3,FALSE)</f>
        <v>#N/A</v>
      </c>
      <c r="G614" s="4" t="str">
        <f t="shared" si="14"/>
        <v/>
      </c>
      <c r="H614" s="4" t="str">
        <f t="shared" si="3"/>
        <v/>
      </c>
      <c r="J614" s="4" t="b">
        <f t="shared" si="124"/>
        <v>0</v>
      </c>
      <c r="K614" s="2" t="b">
        <f t="shared" si="121"/>
        <v>0</v>
      </c>
      <c r="M614" s="4" t="b">
        <f t="shared" si="122"/>
        <v>0</v>
      </c>
      <c r="N614" s="4"/>
      <c r="O614" s="4"/>
      <c r="P614" s="4"/>
      <c r="Q614" s="4"/>
    </row>
    <row r="615">
      <c r="A615" s="2">
        <f t="shared" si="78"/>
        <v>22</v>
      </c>
      <c r="B615" s="3">
        <f t="shared" si="192"/>
        <v>46180</v>
      </c>
      <c r="C615" s="2" t="s">
        <v>93</v>
      </c>
      <c r="D615" s="2" t="s">
        <v>24</v>
      </c>
      <c r="E615" s="4"/>
      <c r="F615" s="4" t="str">
        <f>VLOOKUP($E615,Instructors!$A$2:$C693,3,FALSE)</f>
        <v>#N/A</v>
      </c>
      <c r="G615" s="4" t="str">
        <f t="shared" si="14"/>
        <v/>
      </c>
      <c r="H615" s="4" t="str">
        <f t="shared" si="3"/>
        <v/>
      </c>
      <c r="J615" s="4" t="b">
        <f t="shared" si="124"/>
        <v>0</v>
      </c>
      <c r="K615" s="2" t="b">
        <f t="shared" si="121"/>
        <v>0</v>
      </c>
      <c r="M615" s="4" t="b">
        <f t="shared" si="122"/>
        <v>0</v>
      </c>
      <c r="N615" s="4"/>
      <c r="O615" s="4"/>
      <c r="P615" s="4"/>
      <c r="Q615" s="4"/>
    </row>
    <row r="616">
      <c r="A616" s="2">
        <f t="shared" si="78"/>
        <v>22</v>
      </c>
      <c r="B616" s="3">
        <f t="shared" si="192"/>
        <v>46180</v>
      </c>
      <c r="C616" s="2" t="s">
        <v>93</v>
      </c>
      <c r="D616" s="2" t="s">
        <v>29</v>
      </c>
      <c r="E616" s="4"/>
      <c r="F616" s="4" t="str">
        <f>VLOOKUP($E616,Instructors!$A$2:$C693,3,FALSE)</f>
        <v>#N/A</v>
      </c>
      <c r="G616" s="4" t="str">
        <f t="shared" si="14"/>
        <v/>
      </c>
      <c r="H616" s="4" t="str">
        <f t="shared" si="3"/>
        <v/>
      </c>
      <c r="J616" s="4" t="b">
        <f t="shared" si="124"/>
        <v>0</v>
      </c>
      <c r="K616" s="2" t="b">
        <f t="shared" si="121"/>
        <v>0</v>
      </c>
      <c r="M616" s="4" t="b">
        <f t="shared" si="122"/>
        <v>0</v>
      </c>
      <c r="N616" s="4"/>
      <c r="O616" s="4"/>
      <c r="P616" s="4"/>
      <c r="Q616" s="4"/>
    </row>
    <row r="617">
      <c r="A617" s="2">
        <f t="shared" si="78"/>
        <v>22</v>
      </c>
      <c r="B617" s="3">
        <f t="shared" si="192"/>
        <v>46180</v>
      </c>
      <c r="C617" s="2" t="s">
        <v>93</v>
      </c>
      <c r="D617" s="2" t="s">
        <v>31</v>
      </c>
      <c r="E617" s="4"/>
      <c r="F617" s="4" t="str">
        <f>VLOOKUP($E617,Instructors!$A$2:$C693,3,FALSE)</f>
        <v>#N/A</v>
      </c>
      <c r="G617" s="4" t="str">
        <f t="shared" si="14"/>
        <v/>
      </c>
      <c r="H617" s="4" t="str">
        <f t="shared" si="3"/>
        <v/>
      </c>
      <c r="J617" s="4" t="b">
        <f t="shared" si="124"/>
        <v>0</v>
      </c>
      <c r="K617" s="2" t="b">
        <f t="shared" si="121"/>
        <v>0</v>
      </c>
      <c r="M617" s="4" t="b">
        <f t="shared" si="122"/>
        <v>0</v>
      </c>
      <c r="N617" s="4"/>
      <c r="O617" s="4"/>
      <c r="P617" s="4"/>
      <c r="Q617" s="4"/>
    </row>
    <row r="618">
      <c r="A618" s="2">
        <f t="shared" si="78"/>
        <v>23</v>
      </c>
      <c r="B618" s="3">
        <f t="shared" ref="B618:B621" si="193">B614+1</f>
        <v>46181</v>
      </c>
      <c r="C618" s="2" t="s">
        <v>17</v>
      </c>
      <c r="D618" s="2" t="s">
        <v>18</v>
      </c>
      <c r="E618" s="4"/>
      <c r="F618" s="4" t="str">
        <f>VLOOKUP($E618,Instructors!$A$2:$C693,3,FALSE)</f>
        <v>#N/A</v>
      </c>
      <c r="G618" s="4" t="str">
        <f t="shared" si="14"/>
        <v/>
      </c>
      <c r="H618" s="4" t="str">
        <f t="shared" si="3"/>
        <v/>
      </c>
      <c r="J618" s="4" t="b">
        <f t="shared" si="124"/>
        <v>0</v>
      </c>
      <c r="K618" s="2" t="b">
        <f t="shared" si="121"/>
        <v>0</v>
      </c>
      <c r="M618" s="4" t="b">
        <f t="shared" si="122"/>
        <v>0</v>
      </c>
      <c r="N618" s="4"/>
      <c r="O618" s="4"/>
      <c r="P618" s="4"/>
      <c r="Q618" s="4"/>
    </row>
    <row r="619">
      <c r="A619" s="2">
        <f t="shared" si="78"/>
        <v>23</v>
      </c>
      <c r="B619" s="3">
        <f t="shared" si="193"/>
        <v>46181</v>
      </c>
      <c r="C619" s="2" t="s">
        <v>17</v>
      </c>
      <c r="D619" s="2" t="s">
        <v>24</v>
      </c>
      <c r="E619" s="4"/>
      <c r="F619" s="4" t="str">
        <f>VLOOKUP($E619,Instructors!$A$2:$C693,3,FALSE)</f>
        <v>#N/A</v>
      </c>
      <c r="G619" s="4" t="str">
        <f t="shared" si="14"/>
        <v/>
      </c>
      <c r="H619" s="4" t="str">
        <f t="shared" si="3"/>
        <v/>
      </c>
      <c r="J619" s="4" t="b">
        <f t="shared" si="124"/>
        <v>0</v>
      </c>
      <c r="K619" s="2" t="b">
        <f t="shared" si="121"/>
        <v>0</v>
      </c>
      <c r="M619" s="4" t="b">
        <f t="shared" si="122"/>
        <v>0</v>
      </c>
      <c r="N619" s="4"/>
      <c r="O619" s="4"/>
      <c r="P619" s="4"/>
      <c r="Q619" s="4"/>
    </row>
    <row r="620">
      <c r="A620" s="2">
        <f t="shared" si="78"/>
        <v>23</v>
      </c>
      <c r="B620" s="3">
        <f t="shared" si="193"/>
        <v>46181</v>
      </c>
      <c r="C620" s="2" t="s">
        <v>17</v>
      </c>
      <c r="D620" s="2" t="s">
        <v>29</v>
      </c>
      <c r="E620" s="4"/>
      <c r="F620" s="4" t="str">
        <f>VLOOKUP($E620,Instructors!$A$2:$C693,3,FALSE)</f>
        <v>#N/A</v>
      </c>
      <c r="G620" s="4" t="str">
        <f t="shared" si="14"/>
        <v/>
      </c>
      <c r="H620" s="4" t="str">
        <f t="shared" si="3"/>
        <v/>
      </c>
      <c r="J620" s="4" t="b">
        <f t="shared" si="124"/>
        <v>0</v>
      </c>
      <c r="K620" s="2" t="b">
        <f t="shared" si="121"/>
        <v>0</v>
      </c>
      <c r="M620" s="4" t="b">
        <f t="shared" si="122"/>
        <v>0</v>
      </c>
      <c r="N620" s="4"/>
      <c r="O620" s="4"/>
      <c r="P620" s="4"/>
      <c r="Q620" s="4"/>
    </row>
    <row r="621">
      <c r="A621" s="2">
        <f t="shared" si="78"/>
        <v>23</v>
      </c>
      <c r="B621" s="3">
        <f t="shared" si="193"/>
        <v>46181</v>
      </c>
      <c r="C621" s="2" t="s">
        <v>17</v>
      </c>
      <c r="D621" s="2" t="s">
        <v>31</v>
      </c>
      <c r="E621" s="4"/>
      <c r="F621" s="4" t="str">
        <f>VLOOKUP($E621,Instructors!$A$2:$C693,3,FALSE)</f>
        <v>#N/A</v>
      </c>
      <c r="G621" s="4" t="str">
        <f t="shared" si="14"/>
        <v/>
      </c>
      <c r="H621" s="4" t="str">
        <f t="shared" si="3"/>
        <v/>
      </c>
      <c r="J621" s="4" t="b">
        <f t="shared" si="124"/>
        <v>0</v>
      </c>
      <c r="K621" s="2" t="b">
        <f t="shared" si="121"/>
        <v>0</v>
      </c>
      <c r="M621" s="4" t="b">
        <f t="shared" si="122"/>
        <v>0</v>
      </c>
      <c r="N621" s="4"/>
      <c r="O621" s="4"/>
      <c r="P621" s="4"/>
      <c r="Q621" s="4"/>
    </row>
    <row r="622">
      <c r="A622" s="2">
        <f t="shared" si="78"/>
        <v>23</v>
      </c>
      <c r="B622" s="3">
        <f t="shared" ref="B622:B625" si="194">B614+2</f>
        <v>46182</v>
      </c>
      <c r="C622" s="2" t="s">
        <v>33</v>
      </c>
      <c r="D622" s="2" t="s">
        <v>18</v>
      </c>
      <c r="E622" s="4"/>
      <c r="F622" s="4" t="str">
        <f>VLOOKUP($E622,Instructors!$A$2:$C693,3,FALSE)</f>
        <v>#N/A</v>
      </c>
      <c r="G622" s="4" t="str">
        <f t="shared" si="14"/>
        <v/>
      </c>
      <c r="H622" s="4" t="str">
        <f t="shared" si="3"/>
        <v/>
      </c>
      <c r="J622" s="4" t="b">
        <f t="shared" si="124"/>
        <v>0</v>
      </c>
      <c r="K622" s="2" t="b">
        <f t="shared" si="121"/>
        <v>0</v>
      </c>
      <c r="M622" s="4" t="b">
        <f t="shared" si="122"/>
        <v>0</v>
      </c>
      <c r="N622" s="4"/>
      <c r="O622" s="4"/>
      <c r="P622" s="4"/>
      <c r="Q622" s="4"/>
    </row>
    <row r="623">
      <c r="A623" s="2">
        <f t="shared" si="78"/>
        <v>23</v>
      </c>
      <c r="B623" s="3">
        <f t="shared" si="194"/>
        <v>46182</v>
      </c>
      <c r="C623" s="2" t="s">
        <v>33</v>
      </c>
      <c r="D623" s="2" t="s">
        <v>24</v>
      </c>
      <c r="E623" s="4"/>
      <c r="F623" s="4" t="str">
        <f>VLOOKUP($E623,Instructors!$A$2:$C693,3,FALSE)</f>
        <v>#N/A</v>
      </c>
      <c r="G623" s="4" t="str">
        <f t="shared" si="14"/>
        <v/>
      </c>
      <c r="H623" s="4" t="str">
        <f t="shared" si="3"/>
        <v/>
      </c>
      <c r="J623" s="4" t="b">
        <f t="shared" si="124"/>
        <v>0</v>
      </c>
      <c r="K623" s="2" t="b">
        <f t="shared" si="121"/>
        <v>0</v>
      </c>
      <c r="M623" s="4" t="b">
        <f t="shared" si="122"/>
        <v>0</v>
      </c>
      <c r="N623" s="4"/>
      <c r="O623" s="4"/>
      <c r="P623" s="4"/>
      <c r="Q623" s="4"/>
    </row>
    <row r="624">
      <c r="A624" s="2">
        <f t="shared" si="78"/>
        <v>23</v>
      </c>
      <c r="B624" s="3">
        <f t="shared" si="194"/>
        <v>46182</v>
      </c>
      <c r="C624" s="2" t="s">
        <v>33</v>
      </c>
      <c r="D624" s="2" t="s">
        <v>29</v>
      </c>
      <c r="E624" s="4"/>
      <c r="F624" s="4" t="str">
        <f>VLOOKUP($E624,Instructors!$A$2:$C693,3,FALSE)</f>
        <v>#N/A</v>
      </c>
      <c r="G624" s="4" t="str">
        <f t="shared" si="14"/>
        <v/>
      </c>
      <c r="H624" s="4" t="str">
        <f t="shared" si="3"/>
        <v/>
      </c>
      <c r="J624" s="4" t="b">
        <f t="shared" si="124"/>
        <v>0</v>
      </c>
      <c r="K624" s="2" t="b">
        <f t="shared" si="121"/>
        <v>0</v>
      </c>
      <c r="M624" s="4" t="b">
        <f t="shared" si="122"/>
        <v>0</v>
      </c>
      <c r="N624" s="4"/>
      <c r="O624" s="4"/>
      <c r="P624" s="4"/>
      <c r="Q624" s="4"/>
    </row>
    <row r="625">
      <c r="A625" s="2">
        <f t="shared" si="78"/>
        <v>23</v>
      </c>
      <c r="B625" s="3">
        <f t="shared" si="194"/>
        <v>46182</v>
      </c>
      <c r="C625" s="2" t="s">
        <v>33</v>
      </c>
      <c r="D625" s="2" t="s">
        <v>31</v>
      </c>
      <c r="E625" s="4"/>
      <c r="F625" s="4" t="str">
        <f>VLOOKUP($E625,Instructors!$A$2:$C693,3,FALSE)</f>
        <v>#N/A</v>
      </c>
      <c r="G625" s="4" t="str">
        <f t="shared" si="14"/>
        <v/>
      </c>
      <c r="H625" s="4" t="str">
        <f t="shared" si="3"/>
        <v/>
      </c>
      <c r="J625" s="4" t="b">
        <f t="shared" si="124"/>
        <v>0</v>
      </c>
      <c r="K625" s="2" t="b">
        <f t="shared" si="121"/>
        <v>0</v>
      </c>
      <c r="M625" s="4" t="b">
        <f t="shared" si="122"/>
        <v>0</v>
      </c>
      <c r="N625" s="4"/>
      <c r="O625" s="4"/>
      <c r="P625" s="4"/>
      <c r="Q625" s="4"/>
    </row>
    <row r="626">
      <c r="A626" s="2">
        <f t="shared" si="78"/>
        <v>23</v>
      </c>
      <c r="B626" s="3">
        <f t="shared" ref="B626:B629" si="195">B622+1</f>
        <v>46183</v>
      </c>
      <c r="C626" s="2" t="s">
        <v>45</v>
      </c>
      <c r="D626" s="2" t="s">
        <v>18</v>
      </c>
      <c r="E626" s="4"/>
      <c r="F626" s="4" t="str">
        <f>VLOOKUP($E626,Instructors!$A$2:$C693,3,FALSE)</f>
        <v>#N/A</v>
      </c>
      <c r="G626" s="4" t="str">
        <f t="shared" si="14"/>
        <v/>
      </c>
      <c r="H626" s="4" t="str">
        <f t="shared" si="3"/>
        <v/>
      </c>
      <c r="J626" s="4" t="b">
        <f t="shared" si="124"/>
        <v>0</v>
      </c>
      <c r="K626" s="2" t="b">
        <f t="shared" si="121"/>
        <v>0</v>
      </c>
      <c r="M626" s="4" t="b">
        <f t="shared" si="122"/>
        <v>0</v>
      </c>
      <c r="N626" s="4"/>
      <c r="O626" s="4"/>
      <c r="P626" s="4"/>
      <c r="Q626" s="4"/>
    </row>
    <row r="627">
      <c r="A627" s="2">
        <f t="shared" si="78"/>
        <v>23</v>
      </c>
      <c r="B627" s="3">
        <f t="shared" si="195"/>
        <v>46183</v>
      </c>
      <c r="C627" s="2" t="s">
        <v>45</v>
      </c>
      <c r="D627" s="2" t="s">
        <v>24</v>
      </c>
      <c r="E627" s="4"/>
      <c r="F627" s="4" t="str">
        <f>VLOOKUP($E627,Instructors!$A$2:$C693,3,FALSE)</f>
        <v>#N/A</v>
      </c>
      <c r="G627" s="4" t="str">
        <f t="shared" si="14"/>
        <v/>
      </c>
      <c r="H627" s="4" t="str">
        <f t="shared" si="3"/>
        <v/>
      </c>
      <c r="J627" s="4" t="b">
        <f t="shared" si="124"/>
        <v>0</v>
      </c>
      <c r="K627" s="2" t="b">
        <f t="shared" si="121"/>
        <v>0</v>
      </c>
      <c r="M627" s="4" t="b">
        <f t="shared" si="122"/>
        <v>0</v>
      </c>
      <c r="N627" s="4"/>
      <c r="O627" s="4"/>
      <c r="P627" s="4"/>
      <c r="Q627" s="4"/>
    </row>
    <row r="628">
      <c r="A628" s="2">
        <f t="shared" si="78"/>
        <v>23</v>
      </c>
      <c r="B628" s="3">
        <f t="shared" si="195"/>
        <v>46183</v>
      </c>
      <c r="C628" s="2" t="s">
        <v>45</v>
      </c>
      <c r="D628" s="2" t="s">
        <v>29</v>
      </c>
      <c r="E628" s="4"/>
      <c r="F628" s="4" t="str">
        <f>VLOOKUP($E628,Instructors!$A$2:$C693,3,FALSE)</f>
        <v>#N/A</v>
      </c>
      <c r="G628" s="4" t="str">
        <f t="shared" si="14"/>
        <v/>
      </c>
      <c r="H628" s="4" t="str">
        <f t="shared" si="3"/>
        <v/>
      </c>
      <c r="J628" s="4" t="b">
        <f t="shared" si="124"/>
        <v>0</v>
      </c>
      <c r="K628" s="2" t="b">
        <f t="shared" si="121"/>
        <v>0</v>
      </c>
      <c r="M628" s="4" t="b">
        <f t="shared" si="122"/>
        <v>0</v>
      </c>
      <c r="N628" s="4"/>
      <c r="O628" s="4"/>
      <c r="P628" s="4"/>
      <c r="Q628" s="4"/>
    </row>
    <row r="629">
      <c r="A629" s="2">
        <f t="shared" si="78"/>
        <v>23</v>
      </c>
      <c r="B629" s="3">
        <f t="shared" si="195"/>
        <v>46183</v>
      </c>
      <c r="C629" s="2" t="s">
        <v>45</v>
      </c>
      <c r="D629" s="2" t="s">
        <v>31</v>
      </c>
      <c r="E629" s="4"/>
      <c r="F629" s="4" t="str">
        <f>VLOOKUP($E629,Instructors!$A$2:$C693,3,FALSE)</f>
        <v>#N/A</v>
      </c>
      <c r="G629" s="4" t="str">
        <f t="shared" si="14"/>
        <v/>
      </c>
      <c r="H629" s="4" t="str">
        <f t="shared" si="3"/>
        <v/>
      </c>
      <c r="J629" s="4" t="b">
        <f t="shared" si="124"/>
        <v>0</v>
      </c>
      <c r="K629" s="2" t="b">
        <f t="shared" si="121"/>
        <v>0</v>
      </c>
      <c r="M629" s="4" t="b">
        <f t="shared" si="122"/>
        <v>0</v>
      </c>
      <c r="N629" s="4"/>
      <c r="O629" s="4"/>
      <c r="P629" s="4"/>
      <c r="Q629" s="4"/>
    </row>
    <row r="630">
      <c r="A630" s="2">
        <f t="shared" si="78"/>
        <v>23</v>
      </c>
      <c r="B630" s="3">
        <f t="shared" ref="B630:B637" si="196">B622+2</f>
        <v>46184</v>
      </c>
      <c r="C630" s="2" t="s">
        <v>57</v>
      </c>
      <c r="D630" s="2" t="s">
        <v>18</v>
      </c>
      <c r="E630" s="4"/>
      <c r="F630" s="4" t="str">
        <f>VLOOKUP($E630,Instructors!$A$2:$C693,3,FALSE)</f>
        <v>#N/A</v>
      </c>
      <c r="G630" s="4" t="str">
        <f t="shared" si="14"/>
        <v/>
      </c>
      <c r="H630" s="4" t="str">
        <f t="shared" si="3"/>
        <v/>
      </c>
      <c r="J630" s="4" t="b">
        <f t="shared" si="124"/>
        <v>0</v>
      </c>
      <c r="K630" s="2" t="b">
        <f t="shared" si="121"/>
        <v>0</v>
      </c>
      <c r="M630" s="4" t="b">
        <f t="shared" si="122"/>
        <v>0</v>
      </c>
      <c r="N630" s="4"/>
      <c r="O630" s="4"/>
      <c r="P630" s="4"/>
      <c r="Q630" s="4"/>
    </row>
    <row r="631">
      <c r="A631" s="2">
        <f t="shared" si="78"/>
        <v>23</v>
      </c>
      <c r="B631" s="3">
        <f t="shared" si="196"/>
        <v>46184</v>
      </c>
      <c r="C631" s="2" t="s">
        <v>57</v>
      </c>
      <c r="D631" s="2" t="s">
        <v>24</v>
      </c>
      <c r="E631" s="4"/>
      <c r="F631" s="4" t="str">
        <f>VLOOKUP($E631,Instructors!$A$2:$C693,3,FALSE)</f>
        <v>#N/A</v>
      </c>
      <c r="G631" s="4" t="str">
        <f t="shared" si="14"/>
        <v/>
      </c>
      <c r="H631" s="4" t="str">
        <f t="shared" si="3"/>
        <v/>
      </c>
      <c r="J631" s="4" t="b">
        <f t="shared" si="124"/>
        <v>0</v>
      </c>
      <c r="K631" s="2" t="b">
        <f t="shared" si="121"/>
        <v>0</v>
      </c>
      <c r="M631" s="4" t="b">
        <f t="shared" si="122"/>
        <v>0</v>
      </c>
      <c r="N631" s="4"/>
      <c r="O631" s="4"/>
      <c r="P631" s="4"/>
      <c r="Q631" s="4"/>
    </row>
    <row r="632">
      <c r="A632" s="2">
        <f t="shared" si="78"/>
        <v>23</v>
      </c>
      <c r="B632" s="3">
        <f t="shared" si="196"/>
        <v>46184</v>
      </c>
      <c r="C632" s="2" t="s">
        <v>57</v>
      </c>
      <c r="D632" s="2" t="s">
        <v>29</v>
      </c>
      <c r="E632" s="4"/>
      <c r="F632" s="4" t="str">
        <f>VLOOKUP($E632,Instructors!$A$2:$C693,3,FALSE)</f>
        <v>#N/A</v>
      </c>
      <c r="G632" s="4" t="str">
        <f t="shared" si="14"/>
        <v/>
      </c>
      <c r="H632" s="4" t="str">
        <f t="shared" si="3"/>
        <v/>
      </c>
      <c r="J632" s="4" t="b">
        <f t="shared" si="124"/>
        <v>0</v>
      </c>
      <c r="K632" s="2" t="b">
        <f t="shared" si="121"/>
        <v>0</v>
      </c>
      <c r="M632" s="4" t="b">
        <f t="shared" si="122"/>
        <v>0</v>
      </c>
      <c r="N632" s="4"/>
      <c r="O632" s="4"/>
      <c r="P632" s="4"/>
      <c r="Q632" s="4"/>
    </row>
    <row r="633">
      <c r="A633" s="2">
        <f t="shared" si="78"/>
        <v>23</v>
      </c>
      <c r="B633" s="3">
        <f t="shared" si="196"/>
        <v>46184</v>
      </c>
      <c r="C633" s="2" t="s">
        <v>57</v>
      </c>
      <c r="D633" s="2" t="s">
        <v>31</v>
      </c>
      <c r="E633" s="4"/>
      <c r="F633" s="4" t="str">
        <f>VLOOKUP($E633,Instructors!$A$2:$C693,3,FALSE)</f>
        <v>#N/A</v>
      </c>
      <c r="G633" s="4" t="str">
        <f t="shared" si="14"/>
        <v/>
      </c>
      <c r="H633" s="4" t="str">
        <f t="shared" si="3"/>
        <v/>
      </c>
      <c r="J633" s="4" t="b">
        <f t="shared" si="124"/>
        <v>0</v>
      </c>
      <c r="K633" s="2" t="b">
        <f t="shared" si="121"/>
        <v>0</v>
      </c>
      <c r="M633" s="4" t="b">
        <f t="shared" si="122"/>
        <v>0</v>
      </c>
      <c r="N633" s="4"/>
      <c r="O633" s="4"/>
      <c r="P633" s="4"/>
      <c r="Q633" s="4"/>
    </row>
    <row r="634">
      <c r="A634" s="2">
        <f t="shared" si="78"/>
        <v>23</v>
      </c>
      <c r="B634" s="3">
        <f t="shared" si="196"/>
        <v>46185</v>
      </c>
      <c r="C634" s="2" t="s">
        <v>73</v>
      </c>
      <c r="D634" s="2" t="s">
        <v>18</v>
      </c>
      <c r="E634" s="4"/>
      <c r="F634" s="4" t="str">
        <f>VLOOKUP($E634,Instructors!$A$2:$C693,3,FALSE)</f>
        <v>#N/A</v>
      </c>
      <c r="G634" s="4" t="str">
        <f t="shared" si="14"/>
        <v/>
      </c>
      <c r="H634" s="4" t="str">
        <f t="shared" si="3"/>
        <v/>
      </c>
      <c r="J634" s="4" t="b">
        <f t="shared" si="124"/>
        <v>0</v>
      </c>
      <c r="K634" s="2" t="b">
        <f t="shared" si="121"/>
        <v>0</v>
      </c>
      <c r="M634" s="4" t="b">
        <f t="shared" si="122"/>
        <v>0</v>
      </c>
      <c r="N634" s="4"/>
      <c r="O634" s="4"/>
      <c r="P634" s="4"/>
      <c r="Q634" s="4"/>
    </row>
    <row r="635">
      <c r="A635" s="2">
        <f t="shared" si="78"/>
        <v>23</v>
      </c>
      <c r="B635" s="3">
        <f t="shared" si="196"/>
        <v>46185</v>
      </c>
      <c r="C635" s="2" t="s">
        <v>73</v>
      </c>
      <c r="D635" s="2" t="s">
        <v>24</v>
      </c>
      <c r="E635" s="4"/>
      <c r="F635" s="4" t="str">
        <f>VLOOKUP($E635,Instructors!$A$2:$C693,3,FALSE)</f>
        <v>#N/A</v>
      </c>
      <c r="G635" s="4" t="str">
        <f t="shared" si="14"/>
        <v/>
      </c>
      <c r="H635" s="4" t="str">
        <f t="shared" si="3"/>
        <v/>
      </c>
      <c r="J635" s="4" t="b">
        <f t="shared" si="124"/>
        <v>0</v>
      </c>
      <c r="K635" s="2" t="b">
        <f t="shared" si="121"/>
        <v>0</v>
      </c>
      <c r="M635" s="4" t="b">
        <f t="shared" si="122"/>
        <v>0</v>
      </c>
      <c r="N635" s="4"/>
      <c r="O635" s="4"/>
      <c r="P635" s="4"/>
      <c r="Q635" s="4"/>
    </row>
    <row r="636">
      <c r="A636" s="2">
        <f t="shared" si="78"/>
        <v>23</v>
      </c>
      <c r="B636" s="3">
        <f t="shared" si="196"/>
        <v>46185</v>
      </c>
      <c r="C636" s="2" t="s">
        <v>73</v>
      </c>
      <c r="D636" s="2" t="s">
        <v>29</v>
      </c>
      <c r="E636" s="4"/>
      <c r="F636" s="4" t="str">
        <f>VLOOKUP($E636,Instructors!$A$2:$C693,3,FALSE)</f>
        <v>#N/A</v>
      </c>
      <c r="G636" s="4" t="str">
        <f t="shared" si="14"/>
        <v/>
      </c>
      <c r="H636" s="4" t="str">
        <f t="shared" si="3"/>
        <v/>
      </c>
      <c r="J636" s="4" t="b">
        <f t="shared" si="124"/>
        <v>0</v>
      </c>
      <c r="K636" s="2" t="b">
        <f t="shared" si="121"/>
        <v>0</v>
      </c>
      <c r="M636" s="4" t="b">
        <f t="shared" si="122"/>
        <v>0</v>
      </c>
      <c r="N636" s="4"/>
      <c r="O636" s="4"/>
      <c r="P636" s="4"/>
      <c r="Q636" s="4"/>
    </row>
    <row r="637">
      <c r="A637" s="2">
        <f t="shared" si="78"/>
        <v>23</v>
      </c>
      <c r="B637" s="3">
        <f t="shared" si="196"/>
        <v>46185</v>
      </c>
      <c r="C637" s="2" t="s">
        <v>73</v>
      </c>
      <c r="D637" s="2" t="s">
        <v>31</v>
      </c>
      <c r="E637" s="4"/>
      <c r="F637" s="4" t="str">
        <f>VLOOKUP($E637,Instructors!$A$2:$C693,3,FALSE)</f>
        <v>#N/A</v>
      </c>
      <c r="G637" s="4" t="str">
        <f t="shared" si="14"/>
        <v/>
      </c>
      <c r="H637" s="4" t="str">
        <f t="shared" si="3"/>
        <v/>
      </c>
      <c r="J637" s="4" t="b">
        <f t="shared" si="124"/>
        <v>0</v>
      </c>
      <c r="K637" s="2" t="b">
        <f t="shared" si="121"/>
        <v>0</v>
      </c>
      <c r="M637" s="4" t="b">
        <f t="shared" si="122"/>
        <v>0</v>
      </c>
      <c r="N637" s="4"/>
      <c r="O637" s="4"/>
      <c r="P637" s="4"/>
      <c r="Q637" s="4"/>
    </row>
    <row r="638">
      <c r="A638" s="2">
        <f t="shared" si="78"/>
        <v>23</v>
      </c>
      <c r="B638" s="3">
        <f t="shared" ref="B638:B641" si="197">B634+1</f>
        <v>46186</v>
      </c>
      <c r="C638" s="2" t="s">
        <v>86</v>
      </c>
      <c r="D638" s="2" t="s">
        <v>18</v>
      </c>
      <c r="E638" s="4"/>
      <c r="F638" s="4" t="str">
        <f>VLOOKUP($E638,Instructors!$A$2:$C693,3,FALSE)</f>
        <v>#N/A</v>
      </c>
      <c r="G638" s="4" t="str">
        <f t="shared" si="14"/>
        <v/>
      </c>
      <c r="H638" s="4" t="str">
        <f t="shared" si="3"/>
        <v/>
      </c>
      <c r="J638" s="4" t="b">
        <f t="shared" si="124"/>
        <v>0</v>
      </c>
      <c r="K638" s="2" t="b">
        <f t="shared" si="121"/>
        <v>0</v>
      </c>
      <c r="M638" s="4" t="b">
        <f t="shared" si="122"/>
        <v>0</v>
      </c>
      <c r="N638" s="4"/>
      <c r="O638" s="4"/>
      <c r="P638" s="4"/>
      <c r="Q638" s="4"/>
    </row>
    <row r="639">
      <c r="A639" s="2">
        <f t="shared" si="78"/>
        <v>23</v>
      </c>
      <c r="B639" s="3">
        <f t="shared" si="197"/>
        <v>46186</v>
      </c>
      <c r="C639" s="2" t="s">
        <v>86</v>
      </c>
      <c r="D639" s="2" t="s">
        <v>24</v>
      </c>
      <c r="E639" s="4"/>
      <c r="F639" s="4" t="str">
        <f>VLOOKUP($E639,Instructors!$A$2:$C693,3,FALSE)</f>
        <v>#N/A</v>
      </c>
      <c r="G639" s="4" t="str">
        <f t="shared" si="14"/>
        <v/>
      </c>
      <c r="H639" s="4" t="str">
        <f t="shared" si="3"/>
        <v/>
      </c>
      <c r="J639" s="4" t="b">
        <f t="shared" si="124"/>
        <v>0</v>
      </c>
      <c r="K639" s="2" t="b">
        <f t="shared" si="121"/>
        <v>0</v>
      </c>
      <c r="M639" s="4" t="b">
        <f t="shared" si="122"/>
        <v>0</v>
      </c>
      <c r="N639" s="4"/>
      <c r="O639" s="4"/>
      <c r="P639" s="4"/>
      <c r="Q639" s="4"/>
    </row>
    <row r="640">
      <c r="A640" s="2">
        <f t="shared" si="78"/>
        <v>23</v>
      </c>
      <c r="B640" s="3">
        <f t="shared" si="197"/>
        <v>46186</v>
      </c>
      <c r="C640" s="2" t="s">
        <v>86</v>
      </c>
      <c r="D640" s="2" t="s">
        <v>29</v>
      </c>
      <c r="E640" s="4"/>
      <c r="F640" s="4" t="str">
        <f>VLOOKUP($E640,Instructors!$A$2:$C693,3,FALSE)</f>
        <v>#N/A</v>
      </c>
      <c r="G640" s="4" t="str">
        <f t="shared" si="14"/>
        <v/>
      </c>
      <c r="H640" s="4" t="str">
        <f t="shared" si="3"/>
        <v/>
      </c>
      <c r="J640" s="4" t="b">
        <f t="shared" si="124"/>
        <v>0</v>
      </c>
      <c r="K640" s="2" t="b">
        <f t="shared" si="121"/>
        <v>0</v>
      </c>
      <c r="M640" s="4" t="b">
        <f t="shared" si="122"/>
        <v>0</v>
      </c>
      <c r="N640" s="4"/>
      <c r="O640" s="4"/>
      <c r="P640" s="4"/>
      <c r="Q640" s="4"/>
    </row>
    <row r="641">
      <c r="A641" s="2">
        <f t="shared" si="78"/>
        <v>23</v>
      </c>
      <c r="B641" s="3">
        <f t="shared" si="197"/>
        <v>46186</v>
      </c>
      <c r="C641" s="2" t="s">
        <v>86</v>
      </c>
      <c r="D641" s="2" t="s">
        <v>31</v>
      </c>
      <c r="E641" s="4"/>
      <c r="F641" s="4" t="str">
        <f>VLOOKUP($E641,Instructors!$A$2:$C693,3,FALSE)</f>
        <v>#N/A</v>
      </c>
      <c r="G641" s="4" t="str">
        <f t="shared" si="14"/>
        <v/>
      </c>
      <c r="H641" s="4" t="str">
        <f t="shared" si="3"/>
        <v/>
      </c>
      <c r="J641" s="4" t="b">
        <f t="shared" si="124"/>
        <v>0</v>
      </c>
      <c r="K641" s="2" t="b">
        <f t="shared" si="121"/>
        <v>0</v>
      </c>
      <c r="M641" s="4" t="b">
        <f t="shared" si="122"/>
        <v>0</v>
      </c>
      <c r="N641" s="4"/>
      <c r="O641" s="4"/>
      <c r="P641" s="4"/>
      <c r="Q641" s="4"/>
    </row>
    <row r="642">
      <c r="A642" s="2">
        <f t="shared" si="78"/>
        <v>23</v>
      </c>
      <c r="B642" s="3">
        <f t="shared" ref="B642:B645" si="198">B634+2</f>
        <v>46187</v>
      </c>
      <c r="C642" s="2" t="s">
        <v>93</v>
      </c>
      <c r="D642" s="2" t="s">
        <v>18</v>
      </c>
      <c r="E642" s="4"/>
      <c r="F642" s="4" t="str">
        <f>VLOOKUP($E642,Instructors!$A$2:$C693,3,FALSE)</f>
        <v>#N/A</v>
      </c>
      <c r="G642" s="4" t="str">
        <f t="shared" si="14"/>
        <v/>
      </c>
      <c r="H642" s="4" t="str">
        <f t="shared" si="3"/>
        <v/>
      </c>
      <c r="J642" s="4" t="b">
        <f t="shared" si="124"/>
        <v>0</v>
      </c>
      <c r="K642" s="2" t="b">
        <f t="shared" si="121"/>
        <v>0</v>
      </c>
      <c r="M642" s="4" t="b">
        <f t="shared" si="122"/>
        <v>0</v>
      </c>
      <c r="N642" s="4"/>
      <c r="O642" s="4"/>
      <c r="P642" s="4"/>
      <c r="Q642" s="4"/>
    </row>
    <row r="643">
      <c r="A643" s="2">
        <f t="shared" si="78"/>
        <v>23</v>
      </c>
      <c r="B643" s="3">
        <f t="shared" si="198"/>
        <v>46187</v>
      </c>
      <c r="C643" s="2" t="s">
        <v>93</v>
      </c>
      <c r="D643" s="2" t="s">
        <v>24</v>
      </c>
      <c r="E643" s="4"/>
      <c r="F643" s="4" t="str">
        <f>VLOOKUP($E643,Instructors!$A$2:$C693,3,FALSE)</f>
        <v>#N/A</v>
      </c>
      <c r="G643" s="4" t="str">
        <f t="shared" si="14"/>
        <v/>
      </c>
      <c r="H643" s="4" t="str">
        <f t="shared" si="3"/>
        <v/>
      </c>
      <c r="J643" s="4" t="b">
        <f t="shared" si="124"/>
        <v>0</v>
      </c>
      <c r="K643" s="2" t="b">
        <f t="shared" si="121"/>
        <v>0</v>
      </c>
      <c r="M643" s="4" t="b">
        <f t="shared" si="122"/>
        <v>0</v>
      </c>
      <c r="N643" s="4"/>
      <c r="O643" s="4"/>
      <c r="P643" s="4"/>
      <c r="Q643" s="4"/>
    </row>
    <row r="644">
      <c r="A644" s="2">
        <f t="shared" si="78"/>
        <v>23</v>
      </c>
      <c r="B644" s="3">
        <f t="shared" si="198"/>
        <v>46187</v>
      </c>
      <c r="C644" s="2" t="s">
        <v>93</v>
      </c>
      <c r="D644" s="2" t="s">
        <v>29</v>
      </c>
      <c r="E644" s="4"/>
      <c r="F644" s="4" t="str">
        <f>VLOOKUP($E644,Instructors!$A$2:$C693,3,FALSE)</f>
        <v>#N/A</v>
      </c>
      <c r="G644" s="4" t="str">
        <f t="shared" si="14"/>
        <v/>
      </c>
      <c r="H644" s="4" t="str">
        <f t="shared" si="3"/>
        <v/>
      </c>
      <c r="J644" s="4" t="b">
        <f t="shared" si="124"/>
        <v>0</v>
      </c>
      <c r="K644" s="2" t="b">
        <f t="shared" si="121"/>
        <v>0</v>
      </c>
      <c r="M644" s="4" t="b">
        <f t="shared" si="122"/>
        <v>0</v>
      </c>
      <c r="N644" s="4"/>
      <c r="O644" s="4"/>
      <c r="P644" s="4"/>
      <c r="Q644" s="4"/>
    </row>
    <row r="645">
      <c r="A645" s="2">
        <f t="shared" si="78"/>
        <v>23</v>
      </c>
      <c r="B645" s="3">
        <f t="shared" si="198"/>
        <v>46187</v>
      </c>
      <c r="C645" s="2" t="s">
        <v>93</v>
      </c>
      <c r="D645" s="2" t="s">
        <v>31</v>
      </c>
      <c r="E645" s="4"/>
      <c r="F645" s="4" t="str">
        <f>VLOOKUP($E645,Instructors!$A$2:$C693,3,FALSE)</f>
        <v>#N/A</v>
      </c>
      <c r="G645" s="4" t="str">
        <f t="shared" si="14"/>
        <v/>
      </c>
      <c r="H645" s="4" t="str">
        <f t="shared" si="3"/>
        <v/>
      </c>
      <c r="J645" s="4" t="b">
        <f t="shared" si="124"/>
        <v>0</v>
      </c>
      <c r="K645" s="2" t="b">
        <f t="shared" si="121"/>
        <v>0</v>
      </c>
      <c r="M645" s="4" t="b">
        <f t="shared" si="122"/>
        <v>0</v>
      </c>
      <c r="N645" s="4"/>
      <c r="O645" s="4"/>
      <c r="P645" s="4"/>
      <c r="Q645" s="4"/>
    </row>
    <row r="646">
      <c r="A646" s="2">
        <f t="shared" si="78"/>
        <v>24</v>
      </c>
      <c r="B646" s="3">
        <f t="shared" ref="B646:B649" si="199">B642+1</f>
        <v>46188</v>
      </c>
      <c r="C646" s="2" t="s">
        <v>17</v>
      </c>
      <c r="D646" s="2" t="s">
        <v>18</v>
      </c>
      <c r="E646" s="4"/>
      <c r="F646" s="4" t="str">
        <f>VLOOKUP($E646,Instructors!$A$2:$C693,3,FALSE)</f>
        <v>#N/A</v>
      </c>
      <c r="G646" s="4" t="str">
        <f t="shared" si="14"/>
        <v/>
      </c>
      <c r="H646" s="4" t="str">
        <f t="shared" si="3"/>
        <v/>
      </c>
      <c r="J646" s="4" t="b">
        <f t="shared" si="124"/>
        <v>0</v>
      </c>
      <c r="K646" s="2" t="b">
        <f t="shared" si="121"/>
        <v>0</v>
      </c>
      <c r="M646" s="4" t="b">
        <f t="shared" si="122"/>
        <v>0</v>
      </c>
      <c r="N646" s="4"/>
      <c r="O646" s="4"/>
      <c r="P646" s="4"/>
      <c r="Q646" s="4"/>
    </row>
    <row r="647">
      <c r="A647" s="2">
        <f t="shared" si="78"/>
        <v>24</v>
      </c>
      <c r="B647" s="3">
        <f t="shared" si="199"/>
        <v>46188</v>
      </c>
      <c r="C647" s="2" t="s">
        <v>17</v>
      </c>
      <c r="D647" s="2" t="s">
        <v>24</v>
      </c>
      <c r="E647" s="4"/>
      <c r="F647" s="4" t="str">
        <f>VLOOKUP($E647,Instructors!$A$2:$C693,3,FALSE)</f>
        <v>#N/A</v>
      </c>
      <c r="G647" s="4" t="str">
        <f t="shared" si="14"/>
        <v/>
      </c>
      <c r="H647" s="4" t="str">
        <f t="shared" si="3"/>
        <v/>
      </c>
      <c r="J647" s="4" t="b">
        <f t="shared" si="124"/>
        <v>0</v>
      </c>
      <c r="K647" s="2" t="b">
        <f t="shared" si="121"/>
        <v>0</v>
      </c>
      <c r="M647" s="4" t="b">
        <f t="shared" si="122"/>
        <v>0</v>
      </c>
      <c r="N647" s="4"/>
      <c r="O647" s="4"/>
      <c r="P647" s="4"/>
      <c r="Q647" s="4"/>
    </row>
    <row r="648">
      <c r="A648" s="2">
        <f t="shared" si="78"/>
        <v>24</v>
      </c>
      <c r="B648" s="3">
        <f t="shared" si="199"/>
        <v>46188</v>
      </c>
      <c r="C648" s="2" t="s">
        <v>17</v>
      </c>
      <c r="D648" s="2" t="s">
        <v>29</v>
      </c>
      <c r="E648" s="4"/>
      <c r="F648" s="4" t="str">
        <f>VLOOKUP($E648,Instructors!$A$2:$C693,3,FALSE)</f>
        <v>#N/A</v>
      </c>
      <c r="G648" s="4" t="str">
        <f t="shared" si="14"/>
        <v/>
      </c>
      <c r="H648" s="4" t="str">
        <f t="shared" si="3"/>
        <v/>
      </c>
      <c r="J648" s="4" t="b">
        <f t="shared" si="124"/>
        <v>0</v>
      </c>
      <c r="K648" s="2" t="b">
        <f t="shared" si="121"/>
        <v>0</v>
      </c>
      <c r="M648" s="4" t="b">
        <f t="shared" si="122"/>
        <v>0</v>
      </c>
      <c r="N648" s="4"/>
      <c r="O648" s="4"/>
      <c r="P648" s="4"/>
      <c r="Q648" s="4"/>
    </row>
    <row r="649">
      <c r="A649" s="2">
        <f t="shared" si="78"/>
        <v>24</v>
      </c>
      <c r="B649" s="3">
        <f t="shared" si="199"/>
        <v>46188</v>
      </c>
      <c r="C649" s="2" t="s">
        <v>17</v>
      </c>
      <c r="D649" s="2" t="s">
        <v>31</v>
      </c>
      <c r="E649" s="4"/>
      <c r="F649" s="4" t="str">
        <f>VLOOKUP($E649,Instructors!$A$2:$C693,3,FALSE)</f>
        <v>#N/A</v>
      </c>
      <c r="G649" s="4" t="str">
        <f t="shared" si="14"/>
        <v/>
      </c>
      <c r="H649" s="4" t="str">
        <f t="shared" si="3"/>
        <v/>
      </c>
      <c r="J649" s="4" t="b">
        <f t="shared" si="124"/>
        <v>0</v>
      </c>
      <c r="K649" s="2" t="b">
        <f t="shared" si="121"/>
        <v>0</v>
      </c>
      <c r="M649" s="4" t="b">
        <f t="shared" si="122"/>
        <v>0</v>
      </c>
      <c r="N649" s="4"/>
      <c r="O649" s="4"/>
      <c r="P649" s="4"/>
      <c r="Q649" s="4"/>
    </row>
    <row r="650">
      <c r="A650" s="2">
        <f t="shared" si="78"/>
        <v>24</v>
      </c>
      <c r="B650" s="3">
        <f t="shared" ref="B650:B653" si="200">B642+2</f>
        <v>46189</v>
      </c>
      <c r="C650" s="2" t="s">
        <v>33</v>
      </c>
      <c r="D650" s="2" t="s">
        <v>18</v>
      </c>
      <c r="E650" s="4"/>
      <c r="F650" s="4" t="str">
        <f>VLOOKUP($E650,Instructors!$A$2:$C693,3,FALSE)</f>
        <v>#N/A</v>
      </c>
      <c r="G650" s="4" t="str">
        <f t="shared" si="14"/>
        <v/>
      </c>
      <c r="H650" s="4" t="str">
        <f t="shared" si="3"/>
        <v/>
      </c>
      <c r="J650" s="4" t="b">
        <f t="shared" si="124"/>
        <v>0</v>
      </c>
      <c r="K650" s="2" t="b">
        <f t="shared" si="121"/>
        <v>0</v>
      </c>
      <c r="M650" s="4" t="b">
        <f t="shared" si="122"/>
        <v>0</v>
      </c>
      <c r="N650" s="4"/>
      <c r="O650" s="4"/>
      <c r="P650" s="4"/>
      <c r="Q650" s="4"/>
    </row>
    <row r="651">
      <c r="A651" s="2">
        <f t="shared" si="78"/>
        <v>24</v>
      </c>
      <c r="B651" s="3">
        <f t="shared" si="200"/>
        <v>46189</v>
      </c>
      <c r="C651" s="2" t="s">
        <v>33</v>
      </c>
      <c r="D651" s="2" t="s">
        <v>24</v>
      </c>
      <c r="E651" s="4"/>
      <c r="F651" s="4" t="str">
        <f>VLOOKUP($E651,Instructors!$A$2:$C693,3,FALSE)</f>
        <v>#N/A</v>
      </c>
      <c r="G651" s="4" t="str">
        <f t="shared" si="14"/>
        <v/>
      </c>
      <c r="H651" s="4" t="str">
        <f t="shared" si="3"/>
        <v/>
      </c>
      <c r="J651" s="4" t="b">
        <f t="shared" si="124"/>
        <v>0</v>
      </c>
      <c r="K651" s="2" t="b">
        <f t="shared" si="121"/>
        <v>0</v>
      </c>
      <c r="M651" s="4" t="b">
        <f t="shared" si="122"/>
        <v>0</v>
      </c>
      <c r="N651" s="4"/>
      <c r="O651" s="4"/>
      <c r="P651" s="4"/>
      <c r="Q651" s="4"/>
    </row>
    <row r="652">
      <c r="A652" s="2">
        <f t="shared" si="78"/>
        <v>24</v>
      </c>
      <c r="B652" s="3">
        <f t="shared" si="200"/>
        <v>46189</v>
      </c>
      <c r="C652" s="2" t="s">
        <v>33</v>
      </c>
      <c r="D652" s="2" t="s">
        <v>29</v>
      </c>
      <c r="E652" s="4"/>
      <c r="F652" s="4" t="str">
        <f>VLOOKUP($E652,Instructors!$A$2:$C693,3,FALSE)</f>
        <v>#N/A</v>
      </c>
      <c r="G652" s="4" t="str">
        <f t="shared" si="14"/>
        <v/>
      </c>
      <c r="H652" s="4" t="str">
        <f t="shared" si="3"/>
        <v/>
      </c>
      <c r="J652" s="4" t="b">
        <f t="shared" si="124"/>
        <v>0</v>
      </c>
      <c r="K652" s="2" t="b">
        <f t="shared" si="121"/>
        <v>0</v>
      </c>
      <c r="M652" s="4" t="b">
        <f t="shared" si="122"/>
        <v>0</v>
      </c>
      <c r="N652" s="4"/>
      <c r="O652" s="4"/>
      <c r="P652" s="4"/>
      <c r="Q652" s="4"/>
    </row>
    <row r="653">
      <c r="A653" s="2">
        <f t="shared" si="78"/>
        <v>24</v>
      </c>
      <c r="B653" s="3">
        <f t="shared" si="200"/>
        <v>46189</v>
      </c>
      <c r="C653" s="2" t="s">
        <v>33</v>
      </c>
      <c r="D653" s="2" t="s">
        <v>31</v>
      </c>
      <c r="E653" s="4"/>
      <c r="F653" s="4" t="str">
        <f>VLOOKUP($E653,Instructors!$A$2:$C693,3,FALSE)</f>
        <v>#N/A</v>
      </c>
      <c r="G653" s="4" t="str">
        <f t="shared" si="14"/>
        <v/>
      </c>
      <c r="H653" s="4" t="str">
        <f t="shared" si="3"/>
        <v/>
      </c>
      <c r="J653" s="4" t="b">
        <f t="shared" si="124"/>
        <v>0</v>
      </c>
      <c r="K653" s="2" t="b">
        <f t="shared" si="121"/>
        <v>0</v>
      </c>
      <c r="M653" s="4" t="b">
        <f t="shared" si="122"/>
        <v>0</v>
      </c>
      <c r="N653" s="4"/>
      <c r="O653" s="4"/>
      <c r="P653" s="4"/>
      <c r="Q653" s="4"/>
    </row>
    <row r="654">
      <c r="A654" s="2">
        <f t="shared" si="78"/>
        <v>24</v>
      </c>
      <c r="B654" s="3">
        <f t="shared" ref="B654:B657" si="201">B650+1</f>
        <v>46190</v>
      </c>
      <c r="C654" s="2" t="s">
        <v>45</v>
      </c>
      <c r="D654" s="2" t="s">
        <v>18</v>
      </c>
      <c r="E654" s="4"/>
      <c r="F654" s="4" t="str">
        <f>VLOOKUP($E654,Instructors!$A$2:$C693,3,FALSE)</f>
        <v>#N/A</v>
      </c>
      <c r="G654" s="4" t="str">
        <f t="shared" si="14"/>
        <v/>
      </c>
      <c r="H654" s="4" t="str">
        <f t="shared" si="3"/>
        <v/>
      </c>
      <c r="J654" s="4" t="b">
        <f t="shared" si="124"/>
        <v>0</v>
      </c>
      <c r="K654" s="2" t="b">
        <f t="shared" si="121"/>
        <v>0</v>
      </c>
      <c r="M654" s="4" t="b">
        <f t="shared" si="122"/>
        <v>0</v>
      </c>
      <c r="N654" s="4"/>
      <c r="O654" s="4"/>
      <c r="P654" s="4"/>
      <c r="Q654" s="4"/>
    </row>
    <row r="655">
      <c r="A655" s="2">
        <f t="shared" si="78"/>
        <v>24</v>
      </c>
      <c r="B655" s="3">
        <f t="shared" si="201"/>
        <v>46190</v>
      </c>
      <c r="C655" s="2" t="s">
        <v>45</v>
      </c>
      <c r="D655" s="2" t="s">
        <v>24</v>
      </c>
      <c r="E655" s="4"/>
      <c r="F655" s="4" t="str">
        <f>VLOOKUP($E655,Instructors!$A$2:$C693,3,FALSE)</f>
        <v>#N/A</v>
      </c>
      <c r="G655" s="4" t="str">
        <f t="shared" si="14"/>
        <v/>
      </c>
      <c r="H655" s="4" t="str">
        <f t="shared" si="3"/>
        <v/>
      </c>
      <c r="J655" s="4" t="b">
        <f t="shared" si="124"/>
        <v>0</v>
      </c>
      <c r="K655" s="2" t="b">
        <f t="shared" si="121"/>
        <v>0</v>
      </c>
      <c r="M655" s="4" t="b">
        <f t="shared" si="122"/>
        <v>0</v>
      </c>
      <c r="N655" s="4"/>
      <c r="O655" s="4"/>
      <c r="P655" s="4"/>
      <c r="Q655" s="4"/>
    </row>
    <row r="656">
      <c r="A656" s="2">
        <f t="shared" si="78"/>
        <v>24</v>
      </c>
      <c r="B656" s="3">
        <f t="shared" si="201"/>
        <v>46190</v>
      </c>
      <c r="C656" s="2" t="s">
        <v>45</v>
      </c>
      <c r="D656" s="2" t="s">
        <v>29</v>
      </c>
      <c r="E656" s="4"/>
      <c r="F656" s="4" t="str">
        <f>VLOOKUP($E656,Instructors!$A$2:$C693,3,FALSE)</f>
        <v>#N/A</v>
      </c>
      <c r="G656" s="4" t="str">
        <f t="shared" si="14"/>
        <v/>
      </c>
      <c r="H656" s="4" t="str">
        <f t="shared" si="3"/>
        <v/>
      </c>
      <c r="J656" s="4" t="b">
        <f t="shared" si="124"/>
        <v>0</v>
      </c>
      <c r="K656" s="2" t="b">
        <f t="shared" si="121"/>
        <v>0</v>
      </c>
      <c r="M656" s="4" t="b">
        <f t="shared" si="122"/>
        <v>0</v>
      </c>
      <c r="N656" s="4"/>
      <c r="O656" s="4"/>
      <c r="P656" s="4"/>
      <c r="Q656" s="4"/>
    </row>
    <row r="657">
      <c r="A657" s="2">
        <f t="shared" si="78"/>
        <v>24</v>
      </c>
      <c r="B657" s="3">
        <f t="shared" si="201"/>
        <v>46190</v>
      </c>
      <c r="C657" s="2" t="s">
        <v>45</v>
      </c>
      <c r="D657" s="2" t="s">
        <v>31</v>
      </c>
      <c r="E657" s="4"/>
      <c r="F657" s="4" t="str">
        <f>VLOOKUP($E657,Instructors!$A$2:$C693,3,FALSE)</f>
        <v>#N/A</v>
      </c>
      <c r="G657" s="4" t="str">
        <f t="shared" si="14"/>
        <v/>
      </c>
      <c r="H657" s="4" t="str">
        <f t="shared" si="3"/>
        <v/>
      </c>
      <c r="J657" s="4" t="b">
        <f t="shared" si="124"/>
        <v>0</v>
      </c>
      <c r="K657" s="2" t="b">
        <f t="shared" si="121"/>
        <v>0</v>
      </c>
      <c r="M657" s="4" t="b">
        <f t="shared" si="122"/>
        <v>0</v>
      </c>
      <c r="N657" s="4"/>
      <c r="O657" s="4"/>
      <c r="P657" s="4"/>
      <c r="Q657" s="4"/>
    </row>
    <row r="658">
      <c r="A658" s="2">
        <f t="shared" si="78"/>
        <v>24</v>
      </c>
      <c r="B658" s="3">
        <f t="shared" ref="B658:B665" si="202">B650+2</f>
        <v>46191</v>
      </c>
      <c r="C658" s="2" t="s">
        <v>57</v>
      </c>
      <c r="D658" s="2" t="s">
        <v>18</v>
      </c>
      <c r="E658" s="4"/>
      <c r="F658" s="4" t="str">
        <f>VLOOKUP($E658,Instructors!$A$2:$C693,3,FALSE)</f>
        <v>#N/A</v>
      </c>
      <c r="G658" s="4" t="str">
        <f t="shared" si="14"/>
        <v/>
      </c>
      <c r="H658" s="4" t="str">
        <f t="shared" si="3"/>
        <v/>
      </c>
      <c r="J658" s="4" t="b">
        <f t="shared" si="124"/>
        <v>0</v>
      </c>
      <c r="K658" s="2" t="b">
        <f t="shared" si="121"/>
        <v>0</v>
      </c>
      <c r="M658" s="4" t="b">
        <f t="shared" si="122"/>
        <v>0</v>
      </c>
      <c r="N658" s="4"/>
      <c r="O658" s="4"/>
      <c r="P658" s="4"/>
      <c r="Q658" s="4"/>
    </row>
    <row r="659">
      <c r="A659" s="2">
        <f t="shared" si="78"/>
        <v>24</v>
      </c>
      <c r="B659" s="3">
        <f t="shared" si="202"/>
        <v>46191</v>
      </c>
      <c r="C659" s="2" t="s">
        <v>57</v>
      </c>
      <c r="D659" s="2" t="s">
        <v>24</v>
      </c>
      <c r="E659" s="4"/>
      <c r="F659" s="4" t="str">
        <f>VLOOKUP($E659,Instructors!$A$2:$C693,3,FALSE)</f>
        <v>#N/A</v>
      </c>
      <c r="G659" s="4" t="str">
        <f t="shared" si="14"/>
        <v/>
      </c>
      <c r="H659" s="4" t="str">
        <f t="shared" si="3"/>
        <v/>
      </c>
      <c r="J659" s="4" t="b">
        <f t="shared" si="124"/>
        <v>0</v>
      </c>
      <c r="K659" s="2" t="b">
        <f t="shared" si="121"/>
        <v>0</v>
      </c>
      <c r="M659" s="4" t="b">
        <f t="shared" si="122"/>
        <v>0</v>
      </c>
      <c r="N659" s="4"/>
      <c r="O659" s="4"/>
      <c r="P659" s="4"/>
      <c r="Q659" s="4"/>
    </row>
    <row r="660">
      <c r="A660" s="2">
        <f t="shared" si="78"/>
        <v>24</v>
      </c>
      <c r="B660" s="3">
        <f t="shared" si="202"/>
        <v>46191</v>
      </c>
      <c r="C660" s="2" t="s">
        <v>57</v>
      </c>
      <c r="D660" s="2" t="s">
        <v>29</v>
      </c>
      <c r="E660" s="4"/>
      <c r="F660" s="4" t="str">
        <f>VLOOKUP($E660,Instructors!$A$2:$C693,3,FALSE)</f>
        <v>#N/A</v>
      </c>
      <c r="G660" s="4" t="str">
        <f t="shared" si="14"/>
        <v/>
      </c>
      <c r="H660" s="4" t="str">
        <f t="shared" si="3"/>
        <v/>
      </c>
      <c r="J660" s="4" t="b">
        <f t="shared" si="124"/>
        <v>0</v>
      </c>
      <c r="K660" s="2" t="b">
        <f t="shared" si="121"/>
        <v>0</v>
      </c>
      <c r="M660" s="4" t="b">
        <f t="shared" si="122"/>
        <v>0</v>
      </c>
      <c r="N660" s="4"/>
      <c r="O660" s="4"/>
      <c r="P660" s="4"/>
      <c r="Q660" s="4"/>
    </row>
    <row r="661">
      <c r="A661" s="2">
        <f t="shared" si="78"/>
        <v>24</v>
      </c>
      <c r="B661" s="3">
        <f t="shared" si="202"/>
        <v>46191</v>
      </c>
      <c r="C661" s="2" t="s">
        <v>57</v>
      </c>
      <c r="D661" s="2" t="s">
        <v>31</v>
      </c>
      <c r="E661" s="4"/>
      <c r="F661" s="4" t="str">
        <f>VLOOKUP($E661,Instructors!$A$2:$C693,3,FALSE)</f>
        <v>#N/A</v>
      </c>
      <c r="G661" s="4" t="str">
        <f t="shared" si="14"/>
        <v/>
      </c>
      <c r="H661" s="4" t="str">
        <f t="shared" si="3"/>
        <v/>
      </c>
      <c r="J661" s="4" t="b">
        <f t="shared" si="124"/>
        <v>0</v>
      </c>
      <c r="K661" s="2" t="b">
        <f t="shared" si="121"/>
        <v>0</v>
      </c>
      <c r="M661" s="4" t="b">
        <f t="shared" si="122"/>
        <v>0</v>
      </c>
      <c r="N661" s="4"/>
      <c r="O661" s="4"/>
      <c r="P661" s="4"/>
      <c r="Q661" s="4"/>
    </row>
    <row r="662">
      <c r="A662" s="2">
        <f t="shared" si="78"/>
        <v>24</v>
      </c>
      <c r="B662" s="3">
        <f t="shared" si="202"/>
        <v>46192</v>
      </c>
      <c r="C662" s="2" t="s">
        <v>73</v>
      </c>
      <c r="D662" s="2" t="s">
        <v>18</v>
      </c>
      <c r="E662" s="4"/>
      <c r="F662" s="4" t="str">
        <f>VLOOKUP($E662,Instructors!$A$2:$C693,3,FALSE)</f>
        <v>#N/A</v>
      </c>
      <c r="G662" s="4" t="str">
        <f t="shared" si="14"/>
        <v/>
      </c>
      <c r="H662" s="4" t="str">
        <f t="shared" si="3"/>
        <v/>
      </c>
      <c r="J662" s="4" t="b">
        <f t="shared" si="124"/>
        <v>0</v>
      </c>
      <c r="K662" s="2" t="b">
        <f t="shared" si="121"/>
        <v>0</v>
      </c>
      <c r="M662" s="4" t="b">
        <f t="shared" si="122"/>
        <v>0</v>
      </c>
      <c r="N662" s="4"/>
      <c r="O662" s="4"/>
      <c r="P662" s="4"/>
      <c r="Q662" s="4"/>
    </row>
    <row r="663">
      <c r="A663" s="2">
        <f t="shared" si="78"/>
        <v>24</v>
      </c>
      <c r="B663" s="3">
        <f t="shared" si="202"/>
        <v>46192</v>
      </c>
      <c r="C663" s="2" t="s">
        <v>73</v>
      </c>
      <c r="D663" s="2" t="s">
        <v>24</v>
      </c>
      <c r="E663" s="4"/>
      <c r="F663" s="4" t="str">
        <f>VLOOKUP($E663,Instructors!$A$2:$C693,3,FALSE)</f>
        <v>#N/A</v>
      </c>
      <c r="G663" s="4" t="str">
        <f t="shared" si="14"/>
        <v/>
      </c>
      <c r="H663" s="4" t="str">
        <f t="shared" si="3"/>
        <v/>
      </c>
      <c r="J663" s="4" t="b">
        <f t="shared" si="124"/>
        <v>0</v>
      </c>
      <c r="K663" s="2" t="b">
        <f t="shared" si="121"/>
        <v>0</v>
      </c>
      <c r="M663" s="4" t="b">
        <f t="shared" si="122"/>
        <v>0</v>
      </c>
      <c r="N663" s="4"/>
      <c r="O663" s="4"/>
      <c r="P663" s="4"/>
      <c r="Q663" s="4"/>
    </row>
    <row r="664">
      <c r="A664" s="2">
        <f t="shared" si="78"/>
        <v>24</v>
      </c>
      <c r="B664" s="3">
        <f t="shared" si="202"/>
        <v>46192</v>
      </c>
      <c r="C664" s="2" t="s">
        <v>73</v>
      </c>
      <c r="D664" s="2" t="s">
        <v>29</v>
      </c>
      <c r="E664" s="4"/>
      <c r="F664" s="4" t="str">
        <f>VLOOKUP($E664,Instructors!$A$2:$C693,3,FALSE)</f>
        <v>#N/A</v>
      </c>
      <c r="G664" s="4" t="str">
        <f t="shared" si="14"/>
        <v/>
      </c>
      <c r="H664" s="4" t="str">
        <f t="shared" si="3"/>
        <v/>
      </c>
      <c r="J664" s="4" t="b">
        <f t="shared" si="124"/>
        <v>0</v>
      </c>
      <c r="K664" s="2" t="b">
        <f t="shared" si="121"/>
        <v>0</v>
      </c>
      <c r="M664" s="4" t="b">
        <f t="shared" si="122"/>
        <v>0</v>
      </c>
      <c r="N664" s="4"/>
      <c r="O664" s="4"/>
      <c r="P664" s="4"/>
      <c r="Q664" s="4"/>
    </row>
    <row r="665">
      <c r="A665" s="2">
        <f t="shared" si="78"/>
        <v>24</v>
      </c>
      <c r="B665" s="3">
        <f t="shared" si="202"/>
        <v>46192</v>
      </c>
      <c r="C665" s="2" t="s">
        <v>73</v>
      </c>
      <c r="D665" s="2" t="s">
        <v>31</v>
      </c>
      <c r="E665" s="4"/>
      <c r="F665" s="4" t="str">
        <f>VLOOKUP($E665,Instructors!$A$2:$C693,3,FALSE)</f>
        <v>#N/A</v>
      </c>
      <c r="G665" s="4" t="str">
        <f t="shared" si="14"/>
        <v/>
      </c>
      <c r="H665" s="4" t="str">
        <f t="shared" si="3"/>
        <v/>
      </c>
      <c r="J665" s="4" t="b">
        <f t="shared" si="124"/>
        <v>0</v>
      </c>
      <c r="K665" s="2" t="b">
        <f t="shared" si="121"/>
        <v>0</v>
      </c>
      <c r="M665" s="4" t="b">
        <f t="shared" si="122"/>
        <v>0</v>
      </c>
      <c r="N665" s="4"/>
      <c r="O665" s="4"/>
      <c r="P665" s="4"/>
      <c r="Q665" s="4"/>
    </row>
    <row r="666">
      <c r="A666" s="2">
        <f t="shared" si="78"/>
        <v>24</v>
      </c>
      <c r="B666" s="3">
        <f t="shared" ref="B666:B669" si="203">B662+1</f>
        <v>46193</v>
      </c>
      <c r="C666" s="2" t="s">
        <v>86</v>
      </c>
      <c r="D666" s="2" t="s">
        <v>18</v>
      </c>
      <c r="E666" s="4"/>
      <c r="F666" s="4" t="str">
        <f>VLOOKUP($E666,Instructors!$A$2:$C693,3,FALSE)</f>
        <v>#N/A</v>
      </c>
      <c r="G666" s="4" t="str">
        <f t="shared" si="14"/>
        <v/>
      </c>
      <c r="H666" s="4" t="str">
        <f t="shared" si="3"/>
        <v/>
      </c>
      <c r="J666" s="4" t="b">
        <f t="shared" si="124"/>
        <v>0</v>
      </c>
      <c r="K666" s="2" t="b">
        <f t="shared" si="121"/>
        <v>0</v>
      </c>
      <c r="M666" s="4" t="b">
        <f t="shared" si="122"/>
        <v>0</v>
      </c>
      <c r="N666" s="4"/>
      <c r="O666" s="4"/>
      <c r="P666" s="4"/>
      <c r="Q666" s="4"/>
    </row>
    <row r="667">
      <c r="A667" s="2">
        <f t="shared" si="78"/>
        <v>24</v>
      </c>
      <c r="B667" s="3">
        <f t="shared" si="203"/>
        <v>46193</v>
      </c>
      <c r="C667" s="2" t="s">
        <v>86</v>
      </c>
      <c r="D667" s="2" t="s">
        <v>24</v>
      </c>
      <c r="E667" s="4"/>
      <c r="F667" s="4" t="str">
        <f>VLOOKUP($E667,Instructors!$A$2:$C693,3,FALSE)</f>
        <v>#N/A</v>
      </c>
      <c r="G667" s="4" t="str">
        <f t="shared" si="14"/>
        <v/>
      </c>
      <c r="H667" s="4" t="str">
        <f t="shared" si="3"/>
        <v/>
      </c>
      <c r="J667" s="4" t="b">
        <f t="shared" si="124"/>
        <v>0</v>
      </c>
      <c r="K667" s="2" t="b">
        <f t="shared" si="121"/>
        <v>0</v>
      </c>
      <c r="M667" s="4" t="b">
        <f t="shared" si="122"/>
        <v>0</v>
      </c>
      <c r="N667" s="4"/>
      <c r="O667" s="4"/>
      <c r="P667" s="4"/>
      <c r="Q667" s="4"/>
    </row>
    <row r="668">
      <c r="A668" s="2">
        <f t="shared" si="78"/>
        <v>24</v>
      </c>
      <c r="B668" s="3">
        <f t="shared" si="203"/>
        <v>46193</v>
      </c>
      <c r="C668" s="2" t="s">
        <v>86</v>
      </c>
      <c r="D668" s="2" t="s">
        <v>29</v>
      </c>
      <c r="E668" s="4"/>
      <c r="F668" s="4" t="str">
        <f>VLOOKUP($E668,Instructors!$A$2:$C693,3,FALSE)</f>
        <v>#N/A</v>
      </c>
      <c r="G668" s="4" t="str">
        <f t="shared" si="14"/>
        <v/>
      </c>
      <c r="H668" s="4" t="str">
        <f t="shared" si="3"/>
        <v/>
      </c>
      <c r="J668" s="4" t="b">
        <f t="shared" si="124"/>
        <v>0</v>
      </c>
      <c r="K668" s="2" t="b">
        <f t="shared" si="121"/>
        <v>0</v>
      </c>
      <c r="M668" s="4" t="b">
        <f t="shared" si="122"/>
        <v>0</v>
      </c>
      <c r="N668" s="4"/>
      <c r="O668" s="4"/>
      <c r="P668" s="4"/>
      <c r="Q668" s="4"/>
    </row>
    <row r="669">
      <c r="A669" s="2">
        <f t="shared" si="78"/>
        <v>24</v>
      </c>
      <c r="B669" s="3">
        <f t="shared" si="203"/>
        <v>46193</v>
      </c>
      <c r="C669" s="2" t="s">
        <v>86</v>
      </c>
      <c r="D669" s="2" t="s">
        <v>31</v>
      </c>
      <c r="E669" s="4"/>
      <c r="F669" s="4" t="str">
        <f>VLOOKUP($E669,Instructors!$A$2:$C693,3,FALSE)</f>
        <v>#N/A</v>
      </c>
      <c r="G669" s="4" t="str">
        <f t="shared" si="14"/>
        <v/>
      </c>
      <c r="H669" s="4" t="str">
        <f t="shared" si="3"/>
        <v/>
      </c>
      <c r="J669" s="4" t="b">
        <f t="shared" si="124"/>
        <v>0</v>
      </c>
      <c r="K669" s="2" t="b">
        <f t="shared" si="121"/>
        <v>0</v>
      </c>
      <c r="M669" s="4" t="b">
        <f t="shared" si="122"/>
        <v>0</v>
      </c>
      <c r="N669" s="4"/>
      <c r="O669" s="4"/>
      <c r="P669" s="4"/>
      <c r="Q669" s="4"/>
    </row>
    <row r="670">
      <c r="A670" s="2">
        <f t="shared" si="78"/>
        <v>24</v>
      </c>
      <c r="B670" s="3">
        <f t="shared" ref="B670:B673" si="204">B662+2</f>
        <v>46194</v>
      </c>
      <c r="C670" s="2" t="s">
        <v>93</v>
      </c>
      <c r="D670" s="2" t="s">
        <v>18</v>
      </c>
      <c r="E670" s="4"/>
      <c r="F670" s="4" t="str">
        <f>VLOOKUP($E670,Instructors!$A$2:$C693,3,FALSE)</f>
        <v>#N/A</v>
      </c>
      <c r="G670" s="4" t="str">
        <f t="shared" si="14"/>
        <v/>
      </c>
      <c r="H670" s="4" t="str">
        <f t="shared" si="3"/>
        <v/>
      </c>
      <c r="J670" s="4" t="b">
        <f t="shared" si="124"/>
        <v>0</v>
      </c>
      <c r="K670" s="2" t="b">
        <f t="shared" si="121"/>
        <v>0</v>
      </c>
      <c r="M670" s="4" t="b">
        <f t="shared" si="122"/>
        <v>0</v>
      </c>
      <c r="N670" s="4"/>
      <c r="O670" s="4"/>
      <c r="P670" s="4"/>
      <c r="Q670" s="4"/>
    </row>
    <row r="671">
      <c r="A671" s="2">
        <f t="shared" si="78"/>
        <v>24</v>
      </c>
      <c r="B671" s="3">
        <f t="shared" si="204"/>
        <v>46194</v>
      </c>
      <c r="C671" s="2" t="s">
        <v>93</v>
      </c>
      <c r="D671" s="2" t="s">
        <v>24</v>
      </c>
      <c r="E671" s="4"/>
      <c r="F671" s="4" t="str">
        <f>VLOOKUP($E671,Instructors!$A$2:$C693,3,FALSE)</f>
        <v>#N/A</v>
      </c>
      <c r="G671" s="4" t="str">
        <f t="shared" si="14"/>
        <v/>
      </c>
      <c r="H671" s="4" t="str">
        <f t="shared" si="3"/>
        <v/>
      </c>
      <c r="J671" s="4" t="b">
        <f t="shared" si="124"/>
        <v>0</v>
      </c>
      <c r="K671" s="2" t="b">
        <f t="shared" si="121"/>
        <v>0</v>
      </c>
      <c r="M671" s="4" t="b">
        <f t="shared" si="122"/>
        <v>0</v>
      </c>
      <c r="N671" s="4"/>
      <c r="O671" s="4"/>
      <c r="P671" s="4"/>
      <c r="Q671" s="4"/>
    </row>
    <row r="672">
      <c r="A672" s="2">
        <f t="shared" si="78"/>
        <v>24</v>
      </c>
      <c r="B672" s="3">
        <f t="shared" si="204"/>
        <v>46194</v>
      </c>
      <c r="C672" s="2" t="s">
        <v>93</v>
      </c>
      <c r="D672" s="2" t="s">
        <v>29</v>
      </c>
      <c r="E672" s="4"/>
      <c r="F672" s="4" t="str">
        <f>VLOOKUP($E672,Instructors!$A$2:$C693,3,FALSE)</f>
        <v>#N/A</v>
      </c>
      <c r="G672" s="4" t="str">
        <f t="shared" si="14"/>
        <v/>
      </c>
      <c r="H672" s="4" t="str">
        <f t="shared" si="3"/>
        <v/>
      </c>
      <c r="J672" s="4" t="b">
        <f t="shared" si="124"/>
        <v>0</v>
      </c>
      <c r="K672" s="2" t="b">
        <f t="shared" si="121"/>
        <v>0</v>
      </c>
      <c r="M672" s="4" t="b">
        <f t="shared" si="122"/>
        <v>0</v>
      </c>
      <c r="N672" s="4"/>
      <c r="O672" s="4"/>
      <c r="P672" s="4"/>
      <c r="Q672" s="4"/>
    </row>
    <row r="673">
      <c r="A673" s="2">
        <f t="shared" si="78"/>
        <v>24</v>
      </c>
      <c r="B673" s="3">
        <f t="shared" si="204"/>
        <v>46194</v>
      </c>
      <c r="C673" s="2" t="s">
        <v>93</v>
      </c>
      <c r="D673" s="2" t="s">
        <v>31</v>
      </c>
      <c r="E673" s="4"/>
      <c r="F673" s="4" t="str">
        <f>VLOOKUP($E673,Instructors!$A$2:$C693,3,FALSE)</f>
        <v>#N/A</v>
      </c>
      <c r="G673" s="4" t="str">
        <f t="shared" si="14"/>
        <v/>
      </c>
      <c r="H673" s="4" t="str">
        <f t="shared" si="3"/>
        <v/>
      </c>
      <c r="J673" s="4" t="b">
        <f t="shared" si="124"/>
        <v>0</v>
      </c>
      <c r="K673" s="2" t="b">
        <f t="shared" si="121"/>
        <v>0</v>
      </c>
      <c r="M673" s="4" t="b">
        <f t="shared" si="122"/>
        <v>0</v>
      </c>
      <c r="N673" s="4"/>
      <c r="O673" s="4"/>
      <c r="P673" s="4"/>
      <c r="Q673" s="4"/>
    </row>
    <row r="674">
      <c r="A674" s="2">
        <f t="shared" si="78"/>
        <v>25</v>
      </c>
      <c r="B674" s="3">
        <f t="shared" ref="B674:B677" si="205">B670+1</f>
        <v>46195</v>
      </c>
      <c r="C674" s="2" t="s">
        <v>17</v>
      </c>
      <c r="D674" s="2" t="s">
        <v>18</v>
      </c>
      <c r="E674" s="4"/>
      <c r="F674" s="4" t="str">
        <f>VLOOKUP($E674,Instructors!$A$2:$C693,3,FALSE)</f>
        <v>#N/A</v>
      </c>
      <c r="G674" s="4" t="str">
        <f t="shared" si="14"/>
        <v/>
      </c>
      <c r="H674" s="4" t="str">
        <f t="shared" si="3"/>
        <v/>
      </c>
      <c r="J674" s="4" t="b">
        <f t="shared" si="124"/>
        <v>0</v>
      </c>
      <c r="K674" s="2" t="b">
        <f t="shared" si="121"/>
        <v>0</v>
      </c>
      <c r="M674" s="4" t="b">
        <f t="shared" si="122"/>
        <v>0</v>
      </c>
      <c r="N674" s="4"/>
      <c r="O674" s="4"/>
      <c r="P674" s="4"/>
      <c r="Q674" s="4"/>
    </row>
    <row r="675">
      <c r="A675" s="2">
        <f t="shared" si="78"/>
        <v>25</v>
      </c>
      <c r="B675" s="3">
        <f t="shared" si="205"/>
        <v>46195</v>
      </c>
      <c r="C675" s="2" t="s">
        <v>17</v>
      </c>
      <c r="D675" s="2" t="s">
        <v>24</v>
      </c>
      <c r="E675" s="4"/>
      <c r="F675" s="4" t="str">
        <f>VLOOKUP($E675,Instructors!$A$2:$C693,3,FALSE)</f>
        <v>#N/A</v>
      </c>
      <c r="G675" s="4" t="str">
        <f t="shared" si="14"/>
        <v/>
      </c>
      <c r="H675" s="4" t="str">
        <f t="shared" si="3"/>
        <v/>
      </c>
      <c r="J675" s="4" t="b">
        <f t="shared" si="124"/>
        <v>0</v>
      </c>
      <c r="K675" s="2" t="b">
        <f t="shared" si="121"/>
        <v>0</v>
      </c>
      <c r="M675" s="4" t="b">
        <f t="shared" si="122"/>
        <v>0</v>
      </c>
      <c r="N675" s="4"/>
      <c r="O675" s="4"/>
      <c r="P675" s="4"/>
      <c r="Q675" s="4"/>
    </row>
    <row r="676">
      <c r="A676" s="2">
        <f t="shared" si="78"/>
        <v>25</v>
      </c>
      <c r="B676" s="3">
        <f t="shared" si="205"/>
        <v>46195</v>
      </c>
      <c r="C676" s="2" t="s">
        <v>17</v>
      </c>
      <c r="D676" s="2" t="s">
        <v>29</v>
      </c>
      <c r="E676" s="4"/>
      <c r="F676" s="4" t="str">
        <f>VLOOKUP($E676,Instructors!$A$2:$C693,3,FALSE)</f>
        <v>#N/A</v>
      </c>
      <c r="G676" s="4" t="str">
        <f t="shared" si="14"/>
        <v/>
      </c>
      <c r="H676" s="4" t="str">
        <f t="shared" si="3"/>
        <v/>
      </c>
      <c r="J676" s="4" t="b">
        <f t="shared" si="124"/>
        <v>0</v>
      </c>
      <c r="K676" s="2" t="b">
        <f t="shared" si="121"/>
        <v>0</v>
      </c>
      <c r="M676" s="4" t="b">
        <f t="shared" si="122"/>
        <v>0</v>
      </c>
      <c r="N676" s="4"/>
      <c r="O676" s="4"/>
      <c r="P676" s="4"/>
      <c r="Q676" s="4"/>
    </row>
    <row r="677">
      <c r="A677" s="2">
        <f t="shared" si="78"/>
        <v>25</v>
      </c>
      <c r="B677" s="3">
        <f t="shared" si="205"/>
        <v>46195</v>
      </c>
      <c r="C677" s="2" t="s">
        <v>17</v>
      </c>
      <c r="D677" s="2" t="s">
        <v>31</v>
      </c>
      <c r="E677" s="4"/>
      <c r="F677" s="4" t="str">
        <f>VLOOKUP($E677,Instructors!$A$2:$C693,3,FALSE)</f>
        <v>#N/A</v>
      </c>
      <c r="G677" s="4" t="str">
        <f t="shared" si="14"/>
        <v/>
      </c>
      <c r="H677" s="4" t="str">
        <f t="shared" si="3"/>
        <v/>
      </c>
      <c r="J677" s="4" t="b">
        <f t="shared" si="124"/>
        <v>0</v>
      </c>
      <c r="K677" s="2" t="b">
        <f t="shared" si="121"/>
        <v>0</v>
      </c>
      <c r="M677" s="4" t="b">
        <f t="shared" si="122"/>
        <v>0</v>
      </c>
      <c r="N677" s="4"/>
      <c r="O677" s="4"/>
      <c r="P677" s="4"/>
      <c r="Q677" s="4"/>
    </row>
    <row r="678">
      <c r="A678" s="2">
        <f t="shared" si="78"/>
        <v>25</v>
      </c>
      <c r="B678" s="3">
        <f t="shared" ref="B678:B681" si="206">B670+2</f>
        <v>46196</v>
      </c>
      <c r="C678" s="2" t="s">
        <v>33</v>
      </c>
      <c r="D678" s="2" t="s">
        <v>18</v>
      </c>
      <c r="E678" s="4"/>
      <c r="F678" s="4" t="str">
        <f>VLOOKUP($E678,Instructors!$A$2:$C693,3,FALSE)</f>
        <v>#N/A</v>
      </c>
      <c r="G678" s="4" t="str">
        <f t="shared" si="14"/>
        <v/>
      </c>
      <c r="H678" s="4" t="str">
        <f t="shared" si="3"/>
        <v/>
      </c>
      <c r="J678" s="4" t="b">
        <f t="shared" si="124"/>
        <v>0</v>
      </c>
      <c r="K678" s="2" t="b">
        <f t="shared" si="121"/>
        <v>0</v>
      </c>
      <c r="M678" s="4" t="b">
        <f t="shared" si="122"/>
        <v>0</v>
      </c>
      <c r="N678" s="4"/>
      <c r="O678" s="4"/>
      <c r="P678" s="4"/>
      <c r="Q678" s="4"/>
    </row>
    <row r="679">
      <c r="A679" s="2">
        <f t="shared" si="78"/>
        <v>25</v>
      </c>
      <c r="B679" s="3">
        <f t="shared" si="206"/>
        <v>46196</v>
      </c>
      <c r="C679" s="2" t="s">
        <v>33</v>
      </c>
      <c r="D679" s="2" t="s">
        <v>24</v>
      </c>
      <c r="E679" s="4"/>
      <c r="F679" s="4" t="str">
        <f>VLOOKUP($E679,Instructors!$A$2:$C693,3,FALSE)</f>
        <v>#N/A</v>
      </c>
      <c r="G679" s="4" t="str">
        <f t="shared" si="14"/>
        <v/>
      </c>
      <c r="H679" s="4" t="str">
        <f t="shared" si="3"/>
        <v/>
      </c>
      <c r="J679" s="4" t="b">
        <f t="shared" si="124"/>
        <v>0</v>
      </c>
      <c r="K679" s="2" t="b">
        <f t="shared" si="121"/>
        <v>0</v>
      </c>
      <c r="M679" s="4" t="b">
        <f t="shared" si="122"/>
        <v>0</v>
      </c>
      <c r="N679" s="4"/>
      <c r="O679" s="4"/>
      <c r="P679" s="4"/>
      <c r="Q679" s="4"/>
    </row>
    <row r="680">
      <c r="A680" s="2">
        <f t="shared" si="78"/>
        <v>25</v>
      </c>
      <c r="B680" s="3">
        <f t="shared" si="206"/>
        <v>46196</v>
      </c>
      <c r="C680" s="2" t="s">
        <v>33</v>
      </c>
      <c r="D680" s="2" t="s">
        <v>29</v>
      </c>
      <c r="E680" s="4"/>
      <c r="F680" s="4" t="str">
        <f>VLOOKUP($E680,Instructors!$A$2:$C693,3,FALSE)</f>
        <v>#N/A</v>
      </c>
      <c r="G680" s="4" t="str">
        <f t="shared" si="14"/>
        <v/>
      </c>
      <c r="H680" s="4" t="str">
        <f t="shared" si="3"/>
        <v/>
      </c>
      <c r="J680" s="4" t="b">
        <f t="shared" si="124"/>
        <v>0</v>
      </c>
      <c r="K680" s="2" t="b">
        <f t="shared" si="121"/>
        <v>0</v>
      </c>
      <c r="M680" s="4" t="b">
        <f t="shared" si="122"/>
        <v>0</v>
      </c>
      <c r="N680" s="4"/>
      <c r="O680" s="4"/>
      <c r="P680" s="4"/>
      <c r="Q680" s="4"/>
    </row>
    <row r="681">
      <c r="A681" s="2">
        <f t="shared" si="78"/>
        <v>25</v>
      </c>
      <c r="B681" s="3">
        <f t="shared" si="206"/>
        <v>46196</v>
      </c>
      <c r="C681" s="2" t="s">
        <v>33</v>
      </c>
      <c r="D681" s="2" t="s">
        <v>31</v>
      </c>
      <c r="E681" s="4"/>
      <c r="F681" s="4" t="str">
        <f>VLOOKUP($E681,Instructors!$A$2:$C693,3,FALSE)</f>
        <v>#N/A</v>
      </c>
      <c r="G681" s="4" t="str">
        <f t="shared" si="14"/>
        <v/>
      </c>
      <c r="H681" s="4" t="str">
        <f t="shared" si="3"/>
        <v/>
      </c>
      <c r="J681" s="4" t="b">
        <f t="shared" si="124"/>
        <v>0</v>
      </c>
      <c r="K681" s="2" t="b">
        <f t="shared" si="121"/>
        <v>0</v>
      </c>
      <c r="M681" s="4" t="b">
        <f t="shared" si="122"/>
        <v>0</v>
      </c>
      <c r="N681" s="4"/>
      <c r="O681" s="4"/>
      <c r="P681" s="4"/>
      <c r="Q681" s="4"/>
    </row>
    <row r="682">
      <c r="A682" s="2">
        <f t="shared" si="78"/>
        <v>25</v>
      </c>
      <c r="B682" s="3">
        <f t="shared" ref="B682:B685" si="207">B678+1</f>
        <v>46197</v>
      </c>
      <c r="C682" s="2" t="s">
        <v>45</v>
      </c>
      <c r="D682" s="2" t="s">
        <v>18</v>
      </c>
      <c r="E682" s="4"/>
      <c r="F682" s="4" t="str">
        <f>VLOOKUP($E682,Instructors!$A$2:$C693,3,FALSE)</f>
        <v>#N/A</v>
      </c>
      <c r="G682" s="4" t="str">
        <f t="shared" si="14"/>
        <v/>
      </c>
      <c r="H682" s="4" t="str">
        <f t="shared" si="3"/>
        <v/>
      </c>
      <c r="J682" s="4" t="b">
        <f t="shared" si="124"/>
        <v>0</v>
      </c>
      <c r="K682" s="2" t="b">
        <f t="shared" si="121"/>
        <v>0</v>
      </c>
      <c r="M682" s="4" t="b">
        <f t="shared" si="122"/>
        <v>0</v>
      </c>
      <c r="N682" s="4"/>
      <c r="O682" s="4"/>
      <c r="P682" s="4"/>
      <c r="Q682" s="4"/>
    </row>
    <row r="683">
      <c r="A683" s="2">
        <f t="shared" si="78"/>
        <v>25</v>
      </c>
      <c r="B683" s="3">
        <f t="shared" si="207"/>
        <v>46197</v>
      </c>
      <c r="C683" s="2" t="s">
        <v>45</v>
      </c>
      <c r="D683" s="2" t="s">
        <v>24</v>
      </c>
      <c r="E683" s="4"/>
      <c r="F683" s="4" t="str">
        <f>VLOOKUP($E683,Instructors!$A$2:$C693,3,FALSE)</f>
        <v>#N/A</v>
      </c>
      <c r="G683" s="4" t="str">
        <f t="shared" si="14"/>
        <v/>
      </c>
      <c r="H683" s="4" t="str">
        <f t="shared" si="3"/>
        <v/>
      </c>
      <c r="J683" s="4" t="b">
        <f t="shared" si="124"/>
        <v>0</v>
      </c>
      <c r="K683" s="2" t="b">
        <f t="shared" si="121"/>
        <v>0</v>
      </c>
      <c r="M683" s="4" t="b">
        <f t="shared" si="122"/>
        <v>0</v>
      </c>
      <c r="N683" s="4"/>
      <c r="O683" s="4"/>
      <c r="P683" s="4"/>
      <c r="Q683" s="4"/>
    </row>
    <row r="684">
      <c r="A684" s="2">
        <f t="shared" si="78"/>
        <v>25</v>
      </c>
      <c r="B684" s="3">
        <f t="shared" si="207"/>
        <v>46197</v>
      </c>
      <c r="C684" s="2" t="s">
        <v>45</v>
      </c>
      <c r="D684" s="2" t="s">
        <v>29</v>
      </c>
      <c r="E684" s="4"/>
      <c r="F684" s="4" t="str">
        <f>VLOOKUP($E684,Instructors!$A$2:$C693,3,FALSE)</f>
        <v>#N/A</v>
      </c>
      <c r="G684" s="4" t="str">
        <f t="shared" si="14"/>
        <v/>
      </c>
      <c r="H684" s="4" t="str">
        <f t="shared" si="3"/>
        <v/>
      </c>
      <c r="J684" s="4" t="b">
        <f t="shared" si="124"/>
        <v>0</v>
      </c>
      <c r="K684" s="2" t="b">
        <f t="shared" si="121"/>
        <v>0</v>
      </c>
      <c r="M684" s="4" t="b">
        <f t="shared" si="122"/>
        <v>0</v>
      </c>
      <c r="N684" s="4"/>
      <c r="O684" s="4"/>
      <c r="P684" s="4"/>
      <c r="Q684" s="4"/>
    </row>
    <row r="685">
      <c r="A685" s="2">
        <f t="shared" si="78"/>
        <v>25</v>
      </c>
      <c r="B685" s="3">
        <f t="shared" si="207"/>
        <v>46197</v>
      </c>
      <c r="C685" s="2" t="s">
        <v>45</v>
      </c>
      <c r="D685" s="2" t="s">
        <v>31</v>
      </c>
      <c r="E685" s="4"/>
      <c r="F685" s="4" t="str">
        <f>VLOOKUP($E685,Instructors!$A$2:$C693,3,FALSE)</f>
        <v>#N/A</v>
      </c>
      <c r="G685" s="4" t="str">
        <f t="shared" si="14"/>
        <v/>
      </c>
      <c r="H685" s="4" t="str">
        <f t="shared" si="3"/>
        <v/>
      </c>
      <c r="J685" s="4" t="b">
        <f t="shared" si="124"/>
        <v>0</v>
      </c>
      <c r="K685" s="2" t="b">
        <f t="shared" si="121"/>
        <v>0</v>
      </c>
      <c r="M685" s="4" t="b">
        <f t="shared" si="122"/>
        <v>0</v>
      </c>
      <c r="N685" s="4"/>
      <c r="O685" s="4"/>
      <c r="P685" s="4"/>
      <c r="Q685" s="4"/>
    </row>
    <row r="686">
      <c r="A686" s="2">
        <f t="shared" si="78"/>
        <v>25</v>
      </c>
      <c r="B686" s="3">
        <f t="shared" ref="B686:B693" si="208">B678+2</f>
        <v>46198</v>
      </c>
      <c r="C686" s="2" t="s">
        <v>57</v>
      </c>
      <c r="D686" s="2" t="s">
        <v>18</v>
      </c>
      <c r="E686" s="4"/>
      <c r="F686" s="4" t="str">
        <f>VLOOKUP($E686,Instructors!$A$2:$C693,3,FALSE)</f>
        <v>#N/A</v>
      </c>
      <c r="G686" s="4" t="str">
        <f t="shared" si="14"/>
        <v/>
      </c>
      <c r="H686" s="4" t="str">
        <f t="shared" si="3"/>
        <v/>
      </c>
      <c r="J686" s="4" t="b">
        <f t="shared" si="124"/>
        <v>0</v>
      </c>
      <c r="K686" s="2" t="b">
        <f t="shared" si="121"/>
        <v>0</v>
      </c>
      <c r="M686" s="4" t="b">
        <f t="shared" si="122"/>
        <v>0</v>
      </c>
      <c r="N686" s="4"/>
      <c r="O686" s="4"/>
      <c r="P686" s="4"/>
      <c r="Q686" s="4"/>
    </row>
    <row r="687">
      <c r="A687" s="2">
        <f t="shared" si="78"/>
        <v>25</v>
      </c>
      <c r="B687" s="3">
        <f t="shared" si="208"/>
        <v>46198</v>
      </c>
      <c r="C687" s="2" t="s">
        <v>57</v>
      </c>
      <c r="D687" s="2" t="s">
        <v>24</v>
      </c>
      <c r="E687" s="4"/>
      <c r="F687" s="4" t="str">
        <f>VLOOKUP($E687,Instructors!$A$2:$C693,3,FALSE)</f>
        <v>#N/A</v>
      </c>
      <c r="G687" s="4" t="str">
        <f t="shared" si="14"/>
        <v/>
      </c>
      <c r="H687" s="4" t="str">
        <f t="shared" si="3"/>
        <v/>
      </c>
      <c r="J687" s="4" t="b">
        <f t="shared" si="124"/>
        <v>0</v>
      </c>
      <c r="K687" s="2" t="b">
        <f t="shared" si="121"/>
        <v>0</v>
      </c>
      <c r="M687" s="4" t="b">
        <f t="shared" si="122"/>
        <v>0</v>
      </c>
      <c r="N687" s="4"/>
      <c r="O687" s="4"/>
      <c r="P687" s="4"/>
      <c r="Q687" s="4"/>
    </row>
    <row r="688">
      <c r="A688" s="2">
        <f t="shared" si="78"/>
        <v>25</v>
      </c>
      <c r="B688" s="3">
        <f t="shared" si="208"/>
        <v>46198</v>
      </c>
      <c r="C688" s="2" t="s">
        <v>57</v>
      </c>
      <c r="D688" s="2" t="s">
        <v>29</v>
      </c>
      <c r="E688" s="4"/>
      <c r="F688" s="4" t="str">
        <f>VLOOKUP($E688,Instructors!$A$2:$C693,3,FALSE)</f>
        <v>#N/A</v>
      </c>
      <c r="G688" s="4" t="str">
        <f t="shared" si="14"/>
        <v/>
      </c>
      <c r="H688" s="4" t="str">
        <f t="shared" si="3"/>
        <v/>
      </c>
      <c r="J688" s="4" t="b">
        <f t="shared" si="124"/>
        <v>0</v>
      </c>
      <c r="K688" s="2" t="b">
        <f t="shared" si="121"/>
        <v>0</v>
      </c>
      <c r="M688" s="4" t="b">
        <f t="shared" si="122"/>
        <v>0</v>
      </c>
      <c r="N688" s="4"/>
      <c r="O688" s="4"/>
      <c r="P688" s="4"/>
      <c r="Q688" s="4"/>
    </row>
    <row r="689">
      <c r="A689" s="2">
        <f t="shared" si="78"/>
        <v>25</v>
      </c>
      <c r="B689" s="3">
        <f t="shared" si="208"/>
        <v>46198</v>
      </c>
      <c r="C689" s="2" t="s">
        <v>57</v>
      </c>
      <c r="D689" s="2" t="s">
        <v>31</v>
      </c>
      <c r="E689" s="4"/>
      <c r="F689" s="4" t="str">
        <f>VLOOKUP($E689,Instructors!$A$2:$C693,3,FALSE)</f>
        <v>#N/A</v>
      </c>
      <c r="G689" s="4" t="str">
        <f t="shared" si="14"/>
        <v/>
      </c>
      <c r="H689" s="4" t="str">
        <f t="shared" si="3"/>
        <v/>
      </c>
      <c r="J689" s="4" t="b">
        <f t="shared" si="124"/>
        <v>0</v>
      </c>
      <c r="K689" s="2" t="b">
        <f t="shared" si="121"/>
        <v>0</v>
      </c>
      <c r="M689" s="4" t="b">
        <f t="shared" si="122"/>
        <v>0</v>
      </c>
      <c r="N689" s="4"/>
      <c r="O689" s="4"/>
      <c r="P689" s="4"/>
      <c r="Q689" s="4"/>
    </row>
    <row r="690">
      <c r="A690" s="2">
        <f t="shared" si="78"/>
        <v>25</v>
      </c>
      <c r="B690" s="3">
        <f t="shared" si="208"/>
        <v>46199</v>
      </c>
      <c r="C690" s="2" t="s">
        <v>73</v>
      </c>
      <c r="D690" s="2" t="s">
        <v>18</v>
      </c>
      <c r="E690" s="4"/>
      <c r="F690" s="4" t="str">
        <f>VLOOKUP($E690,Instructors!$A$2:$C693,3,FALSE)</f>
        <v>#N/A</v>
      </c>
      <c r="G690" s="4" t="str">
        <f t="shared" si="14"/>
        <v/>
      </c>
      <c r="H690" s="4" t="str">
        <f t="shared" si="3"/>
        <v/>
      </c>
      <c r="J690" s="4" t="b">
        <f t="shared" si="124"/>
        <v>0</v>
      </c>
      <c r="K690" s="2" t="b">
        <f t="shared" si="121"/>
        <v>0</v>
      </c>
      <c r="M690" s="4" t="b">
        <f t="shared" si="122"/>
        <v>0</v>
      </c>
      <c r="N690" s="4"/>
      <c r="O690" s="4"/>
      <c r="P690" s="4"/>
      <c r="Q690" s="4"/>
    </row>
    <row r="691">
      <c r="A691" s="2">
        <f t="shared" si="78"/>
        <v>25</v>
      </c>
      <c r="B691" s="3">
        <f t="shared" si="208"/>
        <v>46199</v>
      </c>
      <c r="C691" s="2" t="s">
        <v>73</v>
      </c>
      <c r="D691" s="2" t="s">
        <v>24</v>
      </c>
      <c r="E691" s="4"/>
      <c r="F691" s="4" t="str">
        <f>VLOOKUP($E691,Instructors!$A$2:$C693,3,FALSE)</f>
        <v>#N/A</v>
      </c>
      <c r="G691" s="4" t="str">
        <f t="shared" si="14"/>
        <v/>
      </c>
      <c r="H691" s="4" t="str">
        <f t="shared" si="3"/>
        <v/>
      </c>
      <c r="J691" s="4" t="b">
        <f t="shared" si="124"/>
        <v>0</v>
      </c>
      <c r="K691" s="2" t="b">
        <f t="shared" si="121"/>
        <v>0</v>
      </c>
      <c r="M691" s="4" t="b">
        <f t="shared" si="122"/>
        <v>0</v>
      </c>
      <c r="N691" s="4"/>
      <c r="O691" s="4"/>
      <c r="P691" s="4"/>
      <c r="Q691" s="4"/>
    </row>
    <row r="692">
      <c r="A692" s="2">
        <f t="shared" si="78"/>
        <v>25</v>
      </c>
      <c r="B692" s="3">
        <f t="shared" si="208"/>
        <v>46199</v>
      </c>
      <c r="C692" s="2" t="s">
        <v>73</v>
      </c>
      <c r="D692" s="2" t="s">
        <v>29</v>
      </c>
      <c r="E692" s="4"/>
      <c r="F692" s="4" t="str">
        <f>VLOOKUP($E692,Instructors!$A$2:$C693,3,FALSE)</f>
        <v>#N/A</v>
      </c>
      <c r="G692" s="4" t="str">
        <f t="shared" si="14"/>
        <v/>
      </c>
      <c r="H692" s="4" t="str">
        <f t="shared" si="3"/>
        <v/>
      </c>
      <c r="J692" s="4" t="b">
        <f t="shared" si="124"/>
        <v>0</v>
      </c>
      <c r="K692" s="2" t="b">
        <f t="shared" si="121"/>
        <v>0</v>
      </c>
      <c r="M692" s="4" t="b">
        <f t="shared" si="122"/>
        <v>0</v>
      </c>
      <c r="N692" s="4"/>
      <c r="O692" s="4"/>
      <c r="P692" s="4"/>
      <c r="Q692" s="4"/>
    </row>
    <row r="693">
      <c r="A693" s="2">
        <f t="shared" si="78"/>
        <v>25</v>
      </c>
      <c r="B693" s="3">
        <f t="shared" si="208"/>
        <v>46199</v>
      </c>
      <c r="C693" s="2" t="s">
        <v>73</v>
      </c>
      <c r="D693" s="2" t="s">
        <v>31</v>
      </c>
      <c r="E693" s="4"/>
      <c r="F693" s="4" t="str">
        <f>VLOOKUP($E693,Instructors!$A$2:$C693,3,FALSE)</f>
        <v>#N/A</v>
      </c>
      <c r="G693" s="4" t="str">
        <f t="shared" si="14"/>
        <v/>
      </c>
      <c r="H693" s="4" t="str">
        <f t="shared" si="3"/>
        <v/>
      </c>
      <c r="J693" s="4" t="b">
        <f t="shared" si="124"/>
        <v>0</v>
      </c>
      <c r="K693" s="2" t="b">
        <f t="shared" si="121"/>
        <v>0</v>
      </c>
      <c r="M693" s="4" t="b">
        <f t="shared" si="122"/>
        <v>0</v>
      </c>
      <c r="N693" s="4"/>
      <c r="O693" s="4"/>
      <c r="P693" s="4"/>
      <c r="Q693" s="4"/>
    </row>
  </sheetData>
  <autoFilter ref="$A$1:$Q$693"/>
  <conditionalFormatting sqref="M1:M693">
    <cfRule type="containsText" dxfId="0" priority="1" operator="containsText" text="FALSE">
      <formula>NOT(ISERROR(SEARCH(("FALSE"),(M1))))</formula>
    </cfRule>
  </conditionalFormatting>
  <conditionalFormatting sqref="J1:J693">
    <cfRule type="containsText" dxfId="0" priority="2" operator="containsText" text="FALSE">
      <formula>NOT(ISERROR(SEARCH(("FALSE"),(J1))))</formula>
    </cfRule>
  </conditionalFormatting>
  <conditionalFormatting sqref="K1:K693">
    <cfRule type="containsText" dxfId="0" priority="3" operator="containsText" text="FALSE">
      <formula>NOT(ISERROR(SEARCH(("FALSE"),(K1))))</formula>
    </cfRule>
  </conditionalFormatting>
  <dataValidations>
    <dataValidation type="list" allowBlank="1" showErrorMessage="1" sqref="K2:K693">
      <formula1>"30,45,60,90,120,NA"</formula1>
    </dataValidation>
    <dataValidation type="list" allowBlank="1" showErrorMessage="1" sqref="M2:M693">
      <formula1>"Lab,Workshop,Lecture,Self Work,Tool Training,Industry Visit,Holiday,Capstone"</formula1>
    </dataValidation>
    <dataValidation type="list" allowBlank="1" showErrorMessage="1" sqref="J2:J693">
      <formula1>"Personal Leadership,Business &amp; Entrepreneurship,Electronics &amp; Basics,Embedded Systems &amp; IOT,Design &amp; UI,Software &amp; App Development,Product Development,Capstone,Holiday"</formula1>
    </dataValidation>
    <dataValidation type="list" allowBlank="1" showErrorMessage="1" sqref="E2:E693">
      <formula1>Instructors!$A$2:$A693</formula1>
    </dataValidation>
    <dataValidation type="list" allowBlank="1" showErrorMessage="1" sqref="N2:Q693">
      <formula1>Skills!$C$2:$C693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88"/>
  </cols>
  <sheetData>
    <row r="1"/>
    <row r="2"/>
    <row r="3"/>
    <row r="4"/>
    <row r="5"/>
    <row r="6"/>
    <row r="7"/>
    <row r="8"/>
    <row r="9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2.25"/>
    <col customWidth="1" min="2" max="2" width="20.75"/>
    <col customWidth="1" min="3" max="3" width="18.38"/>
    <col customWidth="1" min="4" max="4" width="41.25"/>
    <col customWidth="1" min="5" max="12" width="16.0"/>
  </cols>
  <sheetData>
    <row r="1">
      <c r="A1" s="9" t="s">
        <v>9</v>
      </c>
      <c r="B1" s="10" t="s">
        <v>281</v>
      </c>
      <c r="C1" s="10" t="s">
        <v>282</v>
      </c>
      <c r="D1" s="10" t="s">
        <v>283</v>
      </c>
      <c r="E1" s="11" t="str">
        <f t="shared" ref="E1:E37" si="1">if(count(G1:J1)=0,"NO","YES")</f>
        <v>NO</v>
      </c>
      <c r="F1" s="4" t="str">
        <f t="shared" ref="F1:F37" si="2">if(E1="NO","",textjoin(char(10),"TRUE",text(G1,"DD MMM"),text(H1,"DD MMM"),text(I1,"DD MMM"),text(J1,"DD MMM")))</f>
        <v/>
      </c>
      <c r="G1" s="11" t="str">
        <f t="array" ref="G1">XLOOKUP($C1,main!N$2:N$673,main!$B$2:$B$673,"")</f>
        <v/>
      </c>
      <c r="H1" s="11" t="str">
        <f t="array" ref="H1">XLOOKUP($C1,main!O$2:O$673,main!$B$2:$B$673,"")</f>
        <v/>
      </c>
      <c r="I1" s="11" t="str">
        <f t="array" ref="I1">XLOOKUP($C1,main!P$2:P$673,main!$B$2:$B$673,"")</f>
        <v/>
      </c>
      <c r="J1" s="11" t="str">
        <f t="array" ref="J1">XLOOKUP($C1,main!Q$2:Q$673,main!$B$2:$B$673,"")</f>
        <v/>
      </c>
      <c r="K1" s="11"/>
      <c r="L1" s="12"/>
    </row>
    <row r="2">
      <c r="A2" s="13" t="s">
        <v>284</v>
      </c>
      <c r="B2" s="14" t="s">
        <v>285</v>
      </c>
      <c r="C2" s="14" t="s">
        <v>236</v>
      </c>
      <c r="D2" s="14" t="s">
        <v>286</v>
      </c>
      <c r="E2" s="11" t="str">
        <f t="shared" si="1"/>
        <v>YES</v>
      </c>
      <c r="F2" s="4" t="str">
        <f t="shared" si="2"/>
        <v>26 Feb</v>
      </c>
      <c r="G2" s="11" t="str">
        <f t="array" ref="G2">XLOOKUP($C2,main!N$2:N$673,main!$B$2:$B$673,"")</f>
        <v/>
      </c>
      <c r="H2" s="11" t="str">
        <f t="array" ref="H2">XLOOKUP($C2,main!O$2:O$673,main!$B$2:$B$673,"")</f>
        <v/>
      </c>
      <c r="I2" s="15">
        <f t="array" ref="I2">XLOOKUP($C2,main!P$2:P$673,main!$B$2:$B$673,"")</f>
        <v>46079</v>
      </c>
      <c r="J2" s="11" t="str">
        <f t="array" ref="J2">XLOOKUP($C2,main!Q$2:Q$673,main!$B$2:$B$673,"")</f>
        <v/>
      </c>
      <c r="K2" s="11"/>
      <c r="L2" s="11"/>
    </row>
    <row r="3">
      <c r="A3" s="13" t="s">
        <v>284</v>
      </c>
      <c r="B3" s="14" t="s">
        <v>285</v>
      </c>
      <c r="C3" s="14" t="s">
        <v>51</v>
      </c>
      <c r="D3" s="14" t="s">
        <v>287</v>
      </c>
      <c r="E3" s="11" t="str">
        <f t="shared" si="1"/>
        <v>YES</v>
      </c>
      <c r="F3" s="4" t="str">
        <f t="shared" si="2"/>
        <v>07 Jan
13 Feb
13 Jan</v>
      </c>
      <c r="G3" s="15">
        <f t="array" ref="G3">XLOOKUP($C3,main!N$2:N$673,main!$B$2:$B$673,"")</f>
        <v>46029</v>
      </c>
      <c r="H3" s="15">
        <f t="array" ref="H3">XLOOKUP($C3,main!O$2:O$673,main!$B$2:$B$673,"")</f>
        <v>46066</v>
      </c>
      <c r="I3" s="15">
        <f t="array" ref="I3">XLOOKUP($C3,main!P$2:P$673,main!$B$2:$B$673,"")</f>
        <v>46035</v>
      </c>
      <c r="J3" s="11" t="str">
        <f t="array" ref="J3">XLOOKUP($C3,main!Q$2:Q$673,main!$B$2:$B$673,"")</f>
        <v/>
      </c>
      <c r="K3" s="11"/>
      <c r="L3" s="11"/>
    </row>
    <row r="4">
      <c r="A4" s="13" t="s">
        <v>284</v>
      </c>
      <c r="B4" s="14" t="s">
        <v>285</v>
      </c>
      <c r="C4" s="14" t="s">
        <v>52</v>
      </c>
      <c r="D4" s="14" t="s">
        <v>287</v>
      </c>
      <c r="E4" s="11" t="str">
        <f t="shared" si="1"/>
        <v>YES</v>
      </c>
      <c r="F4" s="4" t="str">
        <f t="shared" si="2"/>
        <v>16 Feb
07 Jan</v>
      </c>
      <c r="G4" s="15">
        <f t="array" ref="G4">XLOOKUP($C4,main!N$2:N$673,main!$B$2:$B$673,"")</f>
        <v>46069</v>
      </c>
      <c r="H4" s="15">
        <f t="array" ref="H4">XLOOKUP($C4,main!O$2:O$673,main!$B$2:$B$673,"")</f>
        <v>46029</v>
      </c>
      <c r="I4" s="11" t="str">
        <f t="array" ref="I4">XLOOKUP($C4,main!P$2:P$673,main!$B$2:$B$673,"")</f>
        <v/>
      </c>
      <c r="J4" s="11" t="str">
        <f t="array" ref="J4">XLOOKUP($C4,main!Q$2:Q$673,main!$B$2:$B$673,"")</f>
        <v/>
      </c>
      <c r="K4" s="11"/>
      <c r="L4" s="11"/>
    </row>
    <row r="5">
      <c r="A5" s="13" t="s">
        <v>284</v>
      </c>
      <c r="B5" s="14" t="s">
        <v>285</v>
      </c>
      <c r="C5" s="14" t="s">
        <v>53</v>
      </c>
      <c r="D5" s="14" t="s">
        <v>287</v>
      </c>
      <c r="E5" s="11" t="str">
        <f t="shared" si="1"/>
        <v>YES</v>
      </c>
      <c r="F5" s="4" t="str">
        <f t="shared" si="2"/>
        <v>24 Feb
07 Jan</v>
      </c>
      <c r="G5" s="11" t="str">
        <f t="array" ref="G5">XLOOKUP($C5,main!N$2:N$673,main!$B$2:$B$673,"")</f>
        <v/>
      </c>
      <c r="H5" s="15">
        <f t="array" ref="H5">XLOOKUP($C5,main!O$2:O$673,main!$B$2:$B$673,"")</f>
        <v>46077</v>
      </c>
      <c r="I5" s="15">
        <f t="array" ref="I5">XLOOKUP($C5,main!P$2:P$673,main!$B$2:$B$673,"")</f>
        <v>46029</v>
      </c>
      <c r="J5" s="11" t="str">
        <f t="array" ref="J5">XLOOKUP($C5,main!Q$2:Q$673,main!$B$2:$B$673,"")</f>
        <v/>
      </c>
      <c r="K5" s="11"/>
      <c r="L5" s="11"/>
    </row>
    <row r="6">
      <c r="A6" s="13" t="s">
        <v>284</v>
      </c>
      <c r="B6" s="14" t="s">
        <v>285</v>
      </c>
      <c r="C6" s="14" t="s">
        <v>288</v>
      </c>
      <c r="D6" s="14" t="s">
        <v>287</v>
      </c>
      <c r="E6" s="11" t="str">
        <f t="shared" si="1"/>
        <v>NO</v>
      </c>
      <c r="F6" s="4" t="str">
        <f t="shared" si="2"/>
        <v/>
      </c>
      <c r="G6" s="11" t="str">
        <f t="array" ref="G6">XLOOKUP($C6,main!N$2:N$673,main!$B$2:$B$673,"")</f>
        <v/>
      </c>
      <c r="H6" s="11" t="str">
        <f t="array" ref="H6">XLOOKUP($C6,main!O$2:O$673,main!$B$2:$B$673,"")</f>
        <v/>
      </c>
      <c r="I6" s="11" t="str">
        <f t="array" ref="I6">XLOOKUP($C6,main!P$2:P$673,main!$B$2:$B$673,"")</f>
        <v/>
      </c>
      <c r="J6" s="11" t="str">
        <f t="array" ref="J6">XLOOKUP($C6,main!Q$2:Q$673,main!$B$2:$B$673,"")</f>
        <v/>
      </c>
      <c r="K6" s="11"/>
      <c r="L6" s="11"/>
    </row>
    <row r="7">
      <c r="A7" s="13" t="s">
        <v>284</v>
      </c>
      <c r="B7" s="13" t="s">
        <v>285</v>
      </c>
      <c r="C7" s="13" t="s">
        <v>221</v>
      </c>
      <c r="D7" s="14" t="s">
        <v>287</v>
      </c>
      <c r="E7" s="11" t="str">
        <f t="shared" si="1"/>
        <v>YES</v>
      </c>
      <c r="F7" s="4" t="str">
        <f t="shared" si="2"/>
        <v>23 Feb</v>
      </c>
      <c r="G7" s="11" t="str">
        <f t="array" ref="G7">XLOOKUP($C7,main!N$2:N$673,main!$B$2:$B$673,"")</f>
        <v/>
      </c>
      <c r="H7" s="11" t="str">
        <f t="array" ref="H7">XLOOKUP($C7,main!O$2:O$673,main!$B$2:$B$673,"")</f>
        <v/>
      </c>
      <c r="I7" s="15">
        <f t="array" ref="I7">XLOOKUP($C7,main!P$2:P$673,main!$B$2:$B$673,"")</f>
        <v>46076</v>
      </c>
      <c r="J7" s="11" t="str">
        <f t="array" ref="J7">XLOOKUP($C7,main!Q$2:Q$673,main!$B$2:$B$673,"")</f>
        <v/>
      </c>
      <c r="K7" s="16"/>
      <c r="L7" s="11"/>
    </row>
    <row r="8">
      <c r="A8" s="13" t="s">
        <v>284</v>
      </c>
      <c r="B8" s="13" t="s">
        <v>285</v>
      </c>
      <c r="C8" s="13" t="s">
        <v>289</v>
      </c>
      <c r="D8" s="14" t="s">
        <v>287</v>
      </c>
      <c r="E8" s="11" t="str">
        <f t="shared" si="1"/>
        <v>NO</v>
      </c>
      <c r="F8" s="4" t="str">
        <f t="shared" si="2"/>
        <v/>
      </c>
      <c r="G8" s="11" t="str">
        <f t="array" ref="G8">XLOOKUP($C8,main!N$2:N$673,main!$B$2:$B$673,"")</f>
        <v/>
      </c>
      <c r="H8" s="11" t="str">
        <f t="array" ref="H8">XLOOKUP($C8,main!O$2:O$673,main!$B$2:$B$673,"")</f>
        <v/>
      </c>
      <c r="I8" s="11" t="str">
        <f t="array" ref="I8">XLOOKUP($C8,main!P$2:P$673,main!$B$2:$B$673,"")</f>
        <v/>
      </c>
      <c r="J8" s="11" t="str">
        <f t="array" ref="J8">XLOOKUP($C8,main!Q$2:Q$673,main!$B$2:$B$673,"")</f>
        <v/>
      </c>
      <c r="K8" s="16"/>
      <c r="L8" s="11"/>
    </row>
    <row r="9">
      <c r="A9" s="13" t="s">
        <v>284</v>
      </c>
      <c r="B9" s="14" t="s">
        <v>285</v>
      </c>
      <c r="C9" s="14" t="s">
        <v>290</v>
      </c>
      <c r="D9" s="14" t="s">
        <v>287</v>
      </c>
      <c r="E9" s="11" t="str">
        <f t="shared" si="1"/>
        <v>NO</v>
      </c>
      <c r="F9" s="4" t="str">
        <f t="shared" si="2"/>
        <v/>
      </c>
      <c r="G9" s="11" t="str">
        <f t="array" ref="G9">XLOOKUP($C9,main!N$2:N$673,main!$B$2:$B$673,"")</f>
        <v/>
      </c>
      <c r="H9" s="11" t="str">
        <f t="array" ref="H9">XLOOKUP($C9,main!O$2:O$673,main!$B$2:$B$673,"")</f>
        <v/>
      </c>
      <c r="I9" s="11" t="str">
        <f t="array" ref="I9">XLOOKUP($C9,main!P$2:P$673,main!$B$2:$B$673,"")</f>
        <v/>
      </c>
      <c r="J9" s="11" t="str">
        <f t="array" ref="J9">XLOOKUP($C9,main!Q$2:Q$673,main!$B$2:$B$673,"")</f>
        <v/>
      </c>
      <c r="K9" s="11"/>
      <c r="L9" s="11"/>
    </row>
    <row r="10">
      <c r="A10" s="13" t="s">
        <v>284</v>
      </c>
      <c r="B10" s="14" t="s">
        <v>285</v>
      </c>
      <c r="C10" s="14" t="s">
        <v>55</v>
      </c>
      <c r="D10" s="14" t="s">
        <v>291</v>
      </c>
      <c r="E10" s="11" t="str">
        <f t="shared" si="1"/>
        <v>YES</v>
      </c>
      <c r="F10" s="4" t="str">
        <f t="shared" si="2"/>
        <v>07 Jan
02 Feb</v>
      </c>
      <c r="G10" s="15">
        <f t="array" ref="G10">XLOOKUP($C10,main!N$2:N$673,main!$B$2:$B$673,"")</f>
        <v>46029</v>
      </c>
      <c r="H10" s="11" t="str">
        <f t="array" ref="H10">XLOOKUP($C10,main!O$2:O$673,main!$B$2:$B$673,"")</f>
        <v/>
      </c>
      <c r="I10" s="15">
        <f t="array" ref="I10">XLOOKUP($C10,main!P$2:P$673,main!$B$2:$B$673,"")</f>
        <v>46055</v>
      </c>
      <c r="J10" s="11" t="str">
        <f t="array" ref="J10">XLOOKUP($C10,main!Q$2:Q$673,main!$B$2:$B$673,"")</f>
        <v/>
      </c>
      <c r="K10" s="11"/>
      <c r="L10" s="11"/>
    </row>
    <row r="11">
      <c r="A11" s="13" t="s">
        <v>284</v>
      </c>
      <c r="B11" s="14" t="s">
        <v>285</v>
      </c>
      <c r="C11" s="14" t="s">
        <v>37</v>
      </c>
      <c r="D11" s="14" t="s">
        <v>292</v>
      </c>
      <c r="E11" s="11" t="str">
        <f t="shared" si="1"/>
        <v>YES</v>
      </c>
      <c r="F11" s="4" t="str">
        <f t="shared" si="2"/>
        <v>06 Jan
27 Jan</v>
      </c>
      <c r="G11" s="15">
        <f t="array" ref="G11">XLOOKUP($C11,main!N$2:N$673,main!$B$2:$B$673,"")</f>
        <v>46028</v>
      </c>
      <c r="H11" s="15">
        <f t="array" ref="H11">XLOOKUP($C11,main!O$2:O$673,main!$B$2:$B$673,"")</f>
        <v>46049</v>
      </c>
      <c r="I11" s="11" t="str">
        <f t="array" ref="I11">XLOOKUP($C11,main!P$2:P$673,main!$B$2:$B$673,"")</f>
        <v/>
      </c>
      <c r="J11" s="11" t="str">
        <f t="array" ref="J11">XLOOKUP($C11,main!Q$2:Q$673,main!$B$2:$B$673,"")</f>
        <v/>
      </c>
      <c r="K11" s="11"/>
      <c r="L11" s="11"/>
    </row>
    <row r="12">
      <c r="A12" s="13" t="s">
        <v>284</v>
      </c>
      <c r="B12" s="14" t="s">
        <v>285</v>
      </c>
      <c r="C12" s="14" t="s">
        <v>171</v>
      </c>
      <c r="D12" s="14" t="s">
        <v>293</v>
      </c>
      <c r="E12" s="11" t="str">
        <f t="shared" si="1"/>
        <v>YES</v>
      </c>
      <c r="F12" s="4" t="str">
        <f t="shared" si="2"/>
        <v>02 Feb</v>
      </c>
      <c r="G12" s="11" t="str">
        <f t="array" ref="G12">XLOOKUP($C12,main!N$2:N$673,main!$B$2:$B$673,"")</f>
        <v/>
      </c>
      <c r="H12" s="11" t="str">
        <f t="array" ref="H12">XLOOKUP($C12,main!O$2:O$673,main!$B$2:$B$673,"")</f>
        <v/>
      </c>
      <c r="I12" s="11" t="str">
        <f t="array" ref="I12">XLOOKUP($C12,main!P$2:P$673,main!$B$2:$B$673,"")</f>
        <v/>
      </c>
      <c r="J12" s="15">
        <f t="array" ref="J12">XLOOKUP($C12,main!Q$2:Q$673,main!$B$2:$B$673,"")</f>
        <v>46055</v>
      </c>
      <c r="K12" s="11"/>
      <c r="L12" s="11"/>
    </row>
    <row r="13">
      <c r="A13" s="13" t="s">
        <v>284</v>
      </c>
      <c r="B13" s="14" t="s">
        <v>285</v>
      </c>
      <c r="C13" s="14" t="s">
        <v>215</v>
      </c>
      <c r="D13" s="14" t="s">
        <v>294</v>
      </c>
      <c r="E13" s="11" t="str">
        <f t="shared" si="1"/>
        <v>YES</v>
      </c>
      <c r="F13" s="4" t="str">
        <f t="shared" si="2"/>
        <v>19 Feb</v>
      </c>
      <c r="G13" s="11" t="str">
        <f t="array" ref="G13">XLOOKUP($C13,main!N$2:N$673,main!$B$2:$B$673,"")</f>
        <v/>
      </c>
      <c r="H13" s="15">
        <f t="array" ref="H13">XLOOKUP($C13,main!O$2:O$673,main!$B$2:$B$673,"")</f>
        <v>46072</v>
      </c>
      <c r="I13" s="11" t="str">
        <f t="array" ref="I13">XLOOKUP($C13,main!P$2:P$673,main!$B$2:$B$673,"")</f>
        <v/>
      </c>
      <c r="J13" s="11" t="str">
        <f t="array" ref="J13">XLOOKUP($C13,main!Q$2:Q$673,main!$B$2:$B$673,"")</f>
        <v/>
      </c>
      <c r="K13" s="11"/>
      <c r="L13" s="11"/>
    </row>
    <row r="14">
      <c r="A14" s="13" t="s">
        <v>284</v>
      </c>
      <c r="B14" s="14" t="s">
        <v>285</v>
      </c>
      <c r="C14" s="14" t="s">
        <v>59</v>
      </c>
      <c r="D14" s="14" t="s">
        <v>295</v>
      </c>
      <c r="E14" s="11" t="str">
        <f t="shared" si="1"/>
        <v>YES</v>
      </c>
      <c r="F14" s="4" t="str">
        <f t="shared" si="2"/>
        <v>08 Jan</v>
      </c>
      <c r="G14" s="11" t="str">
        <f t="array" ref="G14">XLOOKUP($C14,main!N$2:N$673,main!$B$2:$B$673,"")</f>
        <v/>
      </c>
      <c r="H14" s="15">
        <f t="array" ref="H14">XLOOKUP($C14,main!O$2:O$673,main!$B$2:$B$673,"")</f>
        <v>46030</v>
      </c>
      <c r="I14" s="11" t="str">
        <f t="array" ref="I14">XLOOKUP($C14,main!P$2:P$673,main!$B$2:$B$673,"")</f>
        <v/>
      </c>
      <c r="J14" s="11" t="str">
        <f t="array" ref="J14">XLOOKUP($C14,main!Q$2:Q$673,main!$B$2:$B$673,"")</f>
        <v/>
      </c>
      <c r="K14" s="11"/>
      <c r="L14" s="11"/>
    </row>
    <row r="15">
      <c r="A15" s="13" t="s">
        <v>284</v>
      </c>
      <c r="B15" s="14" t="s">
        <v>285</v>
      </c>
      <c r="C15" s="14" t="s">
        <v>61</v>
      </c>
      <c r="D15" s="14" t="s">
        <v>296</v>
      </c>
      <c r="E15" s="11" t="str">
        <f t="shared" si="1"/>
        <v>YES</v>
      </c>
      <c r="F15" s="4" t="str">
        <f t="shared" si="2"/>
        <v>10 Mar
27 Feb
13 Jan
08 Jan</v>
      </c>
      <c r="G15" s="15">
        <f t="array" ref="G15">XLOOKUP($C15,main!N$2:N$673,main!$B$2:$B$673,"")</f>
        <v>46091</v>
      </c>
      <c r="H15" s="15">
        <f t="array" ref="H15">XLOOKUP($C15,main!O$2:O$673,main!$B$2:$B$673,"")</f>
        <v>46080</v>
      </c>
      <c r="I15" s="15">
        <f t="array" ref="I15">XLOOKUP($C15,main!P$2:P$673,main!$B$2:$B$673,"")</f>
        <v>46035</v>
      </c>
      <c r="J15" s="15">
        <f t="array" ref="J15">XLOOKUP($C15,main!Q$2:Q$673,main!$B$2:$B$673,"")</f>
        <v>46030</v>
      </c>
      <c r="K15" s="11"/>
      <c r="L15" s="11"/>
    </row>
    <row r="16">
      <c r="A16" s="13" t="s">
        <v>284</v>
      </c>
      <c r="B16" s="14" t="s">
        <v>285</v>
      </c>
      <c r="C16" s="14" t="s">
        <v>68</v>
      </c>
      <c r="D16" s="14" t="s">
        <v>68</v>
      </c>
      <c r="E16" s="11" t="str">
        <f t="shared" si="1"/>
        <v>YES</v>
      </c>
      <c r="F16" s="4" t="str">
        <f t="shared" si="2"/>
        <v>18 Feb
08 Jan
09 Jan</v>
      </c>
      <c r="G16" s="15">
        <f t="array" ref="G16">XLOOKUP($C16,main!N$2:N$673,main!$B$2:$B$673,"")</f>
        <v>46071</v>
      </c>
      <c r="H16" s="15">
        <f t="array" ref="H16">XLOOKUP($C16,main!O$2:O$673,main!$B$2:$B$673,"")</f>
        <v>46030</v>
      </c>
      <c r="I16" s="11" t="str">
        <f t="array" ref="I16">XLOOKUP($C16,main!P$2:P$673,main!$B$2:$B$673,"")</f>
        <v/>
      </c>
      <c r="J16" s="15">
        <f t="array" ref="J16">XLOOKUP($C16,main!Q$2:Q$673,main!$B$2:$B$673,"")</f>
        <v>46031</v>
      </c>
      <c r="K16" s="11"/>
      <c r="L16" s="11"/>
    </row>
    <row r="17">
      <c r="A17" s="13" t="s">
        <v>284</v>
      </c>
      <c r="B17" s="14" t="s">
        <v>285</v>
      </c>
      <c r="C17" s="14" t="s">
        <v>63</v>
      </c>
      <c r="D17" s="14" t="s">
        <v>297</v>
      </c>
      <c r="E17" s="11" t="str">
        <f t="shared" si="1"/>
        <v>YES</v>
      </c>
      <c r="F17" s="4" t="str">
        <f t="shared" si="2"/>
        <v>23 Jan
08 Jan
16 Feb</v>
      </c>
      <c r="G17" s="15">
        <f t="array" ref="G17">XLOOKUP($C17,main!N$2:N$673,main!$B$2:$B$673,"")</f>
        <v>46045</v>
      </c>
      <c r="H17" s="15">
        <f t="array" ref="H17">XLOOKUP($C17,main!O$2:O$673,main!$B$2:$B$673,"")</f>
        <v>46030</v>
      </c>
      <c r="I17" s="11" t="str">
        <f t="array" ref="I17">XLOOKUP($C17,main!P$2:P$673,main!$B$2:$B$673,"")</f>
        <v/>
      </c>
      <c r="J17" s="15">
        <f t="array" ref="J17">XLOOKUP($C17,main!Q$2:Q$673,main!$B$2:$B$673,"")</f>
        <v>46069</v>
      </c>
      <c r="K17" s="11"/>
      <c r="L17" s="11"/>
    </row>
    <row r="18">
      <c r="A18" s="13" t="s">
        <v>284</v>
      </c>
      <c r="B18" s="14" t="s">
        <v>285</v>
      </c>
      <c r="C18" s="14" t="s">
        <v>216</v>
      </c>
      <c r="D18" s="14" t="s">
        <v>298</v>
      </c>
      <c r="E18" s="11" t="str">
        <f t="shared" si="1"/>
        <v>YES</v>
      </c>
      <c r="F18" s="4" t="str">
        <f t="shared" si="2"/>
        <v>19 Feb</v>
      </c>
      <c r="G18" s="11" t="str">
        <f t="array" ref="G18">XLOOKUP($C18,main!N$2:N$673,main!$B$2:$B$673,"")</f>
        <v/>
      </c>
      <c r="H18" s="11" t="str">
        <f t="array" ref="H18">XLOOKUP($C18,main!O$2:O$673,main!$B$2:$B$673,"")</f>
        <v/>
      </c>
      <c r="I18" s="15">
        <f t="array" ref="I18">XLOOKUP($C18,main!P$2:P$673,main!$B$2:$B$673,"")</f>
        <v>46072</v>
      </c>
      <c r="J18" s="11" t="str">
        <f t="array" ref="J18">XLOOKUP($C18,main!Q$2:Q$673,main!$B$2:$B$673,"")</f>
        <v/>
      </c>
      <c r="K18" s="16"/>
      <c r="L18" s="11"/>
    </row>
    <row r="19">
      <c r="A19" s="13" t="s">
        <v>284</v>
      </c>
      <c r="B19" s="14" t="s">
        <v>285</v>
      </c>
      <c r="C19" s="14" t="s">
        <v>70</v>
      </c>
      <c r="D19" s="14" t="s">
        <v>299</v>
      </c>
      <c r="E19" s="11" t="str">
        <f t="shared" si="1"/>
        <v>YES</v>
      </c>
      <c r="F19" s="4" t="str">
        <f t="shared" si="2"/>
        <v>15 Jan
12 Jan
14 Jan
08 Jan</v>
      </c>
      <c r="G19" s="15">
        <f t="array" ref="G19">XLOOKUP($C19,main!N$2:N$673,main!$B$2:$B$673,"")</f>
        <v>46037</v>
      </c>
      <c r="H19" s="15">
        <f t="array" ref="H19">XLOOKUP($C19,main!O$2:O$673,main!$B$2:$B$673,"")</f>
        <v>46034</v>
      </c>
      <c r="I19" s="15">
        <f t="array" ref="I19">XLOOKUP($C19,main!P$2:P$673,main!$B$2:$B$673,"")</f>
        <v>46036</v>
      </c>
      <c r="J19" s="15">
        <f t="array" ref="J19">XLOOKUP($C19,main!Q$2:Q$673,main!$B$2:$B$673,"")</f>
        <v>46030</v>
      </c>
      <c r="K19" s="16"/>
      <c r="L19" s="11"/>
    </row>
    <row r="20">
      <c r="A20" s="13" t="s">
        <v>284</v>
      </c>
      <c r="B20" s="13" t="s">
        <v>285</v>
      </c>
      <c r="C20" s="13" t="s">
        <v>67</v>
      </c>
      <c r="D20" s="14" t="s">
        <v>300</v>
      </c>
      <c r="E20" s="11" t="str">
        <f t="shared" si="1"/>
        <v>YES</v>
      </c>
      <c r="F20" s="4" t="str">
        <f t="shared" si="2"/>
        <v>08 Jan
15 Jan</v>
      </c>
      <c r="G20" s="15">
        <f t="array" ref="G20">XLOOKUP($C20,main!N$2:N$673,main!$B$2:$B$673,"")</f>
        <v>46030</v>
      </c>
      <c r="H20" s="15">
        <f t="array" ref="H20">XLOOKUP($C20,main!O$2:O$673,main!$B$2:$B$673,"")</f>
        <v>46037</v>
      </c>
      <c r="I20" s="11" t="str">
        <f t="array" ref="I20">XLOOKUP($C20,main!P$2:P$673,main!$B$2:$B$673,"")</f>
        <v/>
      </c>
      <c r="J20" s="11" t="str">
        <f t="array" ref="J20">XLOOKUP($C20,main!Q$2:Q$673,main!$B$2:$B$673,"")</f>
        <v/>
      </c>
      <c r="K20" s="16"/>
      <c r="L20" s="11"/>
    </row>
    <row r="21">
      <c r="A21" s="13" t="s">
        <v>284</v>
      </c>
      <c r="B21" s="13" t="s">
        <v>285</v>
      </c>
      <c r="C21" s="13" t="s">
        <v>204</v>
      </c>
      <c r="D21" s="14" t="s">
        <v>204</v>
      </c>
      <c r="E21" s="11" t="str">
        <f t="shared" si="1"/>
        <v>YES</v>
      </c>
      <c r="F21" s="4" t="str">
        <f t="shared" si="2"/>
        <v>16 Feb</v>
      </c>
      <c r="G21" s="11" t="str">
        <f t="array" ref="G21">XLOOKUP($C21,main!N$2:N$673,main!$B$2:$B$673,"")</f>
        <v/>
      </c>
      <c r="H21" s="11" t="str">
        <f t="array" ref="H21">XLOOKUP($C21,main!O$2:O$673,main!$B$2:$B$673,"")</f>
        <v/>
      </c>
      <c r="I21" s="11" t="str">
        <f t="array" ref="I21">XLOOKUP($C21,main!P$2:P$673,main!$B$2:$B$673,"")</f>
        <v/>
      </c>
      <c r="J21" s="15">
        <f t="array" ref="J21">XLOOKUP($C21,main!Q$2:Q$673,main!$B$2:$B$673,"")</f>
        <v>46069</v>
      </c>
      <c r="K21" s="16"/>
      <c r="L21" s="11"/>
    </row>
    <row r="22">
      <c r="A22" s="13" t="s">
        <v>284</v>
      </c>
      <c r="B22" s="14" t="s">
        <v>285</v>
      </c>
      <c r="C22" s="14" t="s">
        <v>235</v>
      </c>
      <c r="D22" s="14" t="s">
        <v>301</v>
      </c>
      <c r="E22" s="11" t="str">
        <f t="shared" si="1"/>
        <v>YES</v>
      </c>
      <c r="F22" s="4" t="str">
        <f t="shared" si="2"/>
        <v>26 Feb</v>
      </c>
      <c r="G22" s="15">
        <f t="array" ref="G22">XLOOKUP($C22,main!N$2:N$673,main!$B$2:$B$673,"")</f>
        <v>46079</v>
      </c>
      <c r="H22" s="11" t="str">
        <f t="array" ref="H22">XLOOKUP($C22,main!O$2:O$673,main!$B$2:$B$673,"")</f>
        <v/>
      </c>
      <c r="I22" s="11" t="str">
        <f t="array" ref="I22">XLOOKUP($C22,main!P$2:P$673,main!$B$2:$B$673,"")</f>
        <v/>
      </c>
      <c r="J22" s="11" t="str">
        <f t="array" ref="J22">XLOOKUP($C22,main!Q$2:Q$673,main!$B$2:$B$673,"")</f>
        <v/>
      </c>
      <c r="K22" s="11"/>
      <c r="L22" s="11"/>
    </row>
    <row r="23">
      <c r="A23" s="13" t="s">
        <v>284</v>
      </c>
      <c r="B23" s="14" t="s">
        <v>302</v>
      </c>
      <c r="C23" s="14" t="s">
        <v>96</v>
      </c>
      <c r="D23" s="14" t="s">
        <v>303</v>
      </c>
      <c r="E23" s="11" t="str">
        <f t="shared" si="1"/>
        <v>YES</v>
      </c>
      <c r="F23" s="4" t="str">
        <f t="shared" si="2"/>
        <v>12 Jan
13 Jan
24 Feb</v>
      </c>
      <c r="G23" s="15">
        <f t="array" ref="G23">XLOOKUP($C23,main!N$2:N$673,main!$B$2:$B$673,"")</f>
        <v>46034</v>
      </c>
      <c r="H23" s="15">
        <f t="array" ref="H23">XLOOKUP($C23,main!O$2:O$673,main!$B$2:$B$673,"")</f>
        <v>46035</v>
      </c>
      <c r="I23" s="11" t="str">
        <f t="array" ref="I23">XLOOKUP($C23,main!P$2:P$673,main!$B$2:$B$673,"")</f>
        <v/>
      </c>
      <c r="J23" s="15">
        <f t="array" ref="J23">XLOOKUP($C23,main!Q$2:Q$673,main!$B$2:$B$673,"")</f>
        <v>46077</v>
      </c>
      <c r="K23" s="11"/>
      <c r="L23" s="11"/>
    </row>
    <row r="24">
      <c r="A24" s="13" t="s">
        <v>284</v>
      </c>
      <c r="B24" s="14" t="s">
        <v>302</v>
      </c>
      <c r="C24" s="14" t="s">
        <v>304</v>
      </c>
      <c r="D24" s="14" t="s">
        <v>305</v>
      </c>
      <c r="E24" s="11" t="str">
        <f t="shared" si="1"/>
        <v>NO</v>
      </c>
      <c r="F24" s="4" t="str">
        <f t="shared" si="2"/>
        <v/>
      </c>
      <c r="G24" s="11" t="str">
        <f t="array" ref="G24">XLOOKUP($C24,main!N$2:N$673,main!$B$2:$B$673,"")</f>
        <v/>
      </c>
      <c r="H24" s="11" t="str">
        <f t="array" ref="H24">XLOOKUP($C24,main!O$2:O$673,main!$B$2:$B$673,"")</f>
        <v/>
      </c>
      <c r="I24" s="11" t="str">
        <f t="array" ref="I24">XLOOKUP($C24,main!P$2:P$673,main!$B$2:$B$673,"")</f>
        <v/>
      </c>
      <c r="J24" s="11" t="str">
        <f t="array" ref="J24">XLOOKUP($C24,main!Q$2:Q$673,main!$B$2:$B$673,"")</f>
        <v/>
      </c>
      <c r="K24" s="11"/>
      <c r="L24" s="11"/>
    </row>
    <row r="25">
      <c r="A25" s="13" t="s">
        <v>284</v>
      </c>
      <c r="B25" s="14" t="s">
        <v>302</v>
      </c>
      <c r="C25" s="14" t="s">
        <v>306</v>
      </c>
      <c r="D25" s="14" t="s">
        <v>307</v>
      </c>
      <c r="E25" s="11" t="str">
        <f t="shared" si="1"/>
        <v>NO</v>
      </c>
      <c r="F25" s="4" t="str">
        <f t="shared" si="2"/>
        <v/>
      </c>
      <c r="G25" s="11" t="str">
        <f t="array" ref="G25">XLOOKUP($C25,main!N$2:N$673,main!$B$2:$B$673,"")</f>
        <v/>
      </c>
      <c r="H25" s="11" t="str">
        <f t="array" ref="H25">XLOOKUP($C25,main!O$2:O$673,main!$B$2:$B$673,"")</f>
        <v/>
      </c>
      <c r="I25" s="11" t="str">
        <f t="array" ref="I25">XLOOKUP($C25,main!P$2:P$673,main!$B$2:$B$673,"")</f>
        <v/>
      </c>
      <c r="J25" s="11" t="str">
        <f t="array" ref="J25">XLOOKUP($C25,main!Q$2:Q$673,main!$B$2:$B$673,"")</f>
        <v/>
      </c>
      <c r="K25" s="11"/>
      <c r="L25" s="11"/>
    </row>
    <row r="26">
      <c r="A26" s="13" t="s">
        <v>284</v>
      </c>
      <c r="B26" s="14" t="s">
        <v>302</v>
      </c>
      <c r="C26" s="14" t="s">
        <v>104</v>
      </c>
      <c r="D26" s="14" t="s">
        <v>308</v>
      </c>
      <c r="E26" s="11" t="str">
        <f t="shared" si="1"/>
        <v>YES</v>
      </c>
      <c r="F26" s="4" t="str">
        <f t="shared" si="2"/>
        <v>13 Jan
16 Feb</v>
      </c>
      <c r="G26" s="15">
        <f t="array" ref="G26">XLOOKUP($C26,main!N$2:N$673,main!$B$2:$B$673,"")</f>
        <v>46035</v>
      </c>
      <c r="H26" s="11" t="str">
        <f t="array" ref="H26">XLOOKUP($C26,main!O$2:O$673,main!$B$2:$B$673,"")</f>
        <v/>
      </c>
      <c r="I26" s="15">
        <f t="array" ref="I26">XLOOKUP($C26,main!P$2:P$673,main!$B$2:$B$673,"")</f>
        <v>46069</v>
      </c>
      <c r="J26" s="11" t="str">
        <f t="array" ref="J26">XLOOKUP($C26,main!Q$2:Q$673,main!$B$2:$B$673,"")</f>
        <v/>
      </c>
      <c r="K26" s="11"/>
      <c r="L26" s="11"/>
    </row>
    <row r="27">
      <c r="A27" s="13" t="s">
        <v>284</v>
      </c>
      <c r="B27" s="14" t="s">
        <v>302</v>
      </c>
      <c r="C27" s="14" t="s">
        <v>309</v>
      </c>
      <c r="D27" s="14" t="s">
        <v>310</v>
      </c>
      <c r="E27" s="11" t="str">
        <f t="shared" si="1"/>
        <v>NO</v>
      </c>
      <c r="F27" s="4" t="str">
        <f t="shared" si="2"/>
        <v/>
      </c>
      <c r="G27" s="11" t="str">
        <f t="array" ref="G27">XLOOKUP($C27,main!N$2:N$673,main!$B$2:$B$673,"")</f>
        <v/>
      </c>
      <c r="H27" s="11" t="str">
        <f t="array" ref="H27">XLOOKUP($C27,main!O$2:O$673,main!$B$2:$B$673,"")</f>
        <v/>
      </c>
      <c r="I27" s="11" t="str">
        <f t="array" ref="I27">XLOOKUP($C27,main!P$2:P$673,main!$B$2:$B$673,"")</f>
        <v/>
      </c>
      <c r="J27" s="11" t="str">
        <f t="array" ref="J27">XLOOKUP($C27,main!Q$2:Q$673,main!$B$2:$B$673,"")</f>
        <v/>
      </c>
      <c r="K27" s="16"/>
      <c r="L27" s="11"/>
    </row>
    <row r="28">
      <c r="A28" s="13" t="s">
        <v>284</v>
      </c>
      <c r="B28" s="14" t="s">
        <v>302</v>
      </c>
      <c r="C28" s="14" t="s">
        <v>311</v>
      </c>
      <c r="D28" s="14" t="s">
        <v>311</v>
      </c>
      <c r="E28" s="11" t="str">
        <f t="shared" si="1"/>
        <v>NO</v>
      </c>
      <c r="F28" s="4" t="str">
        <f t="shared" si="2"/>
        <v/>
      </c>
      <c r="G28" s="11" t="str">
        <f t="array" ref="G28">XLOOKUP($C28,main!N$2:N$673,main!$B$2:$B$673,"")</f>
        <v/>
      </c>
      <c r="H28" s="11" t="str">
        <f t="array" ref="H28">XLOOKUP($C28,main!O$2:O$673,main!$B$2:$B$673,"")</f>
        <v/>
      </c>
      <c r="I28" s="11" t="str">
        <f t="array" ref="I28">XLOOKUP($C28,main!P$2:P$673,main!$B$2:$B$673,"")</f>
        <v/>
      </c>
      <c r="J28" s="11" t="str">
        <f t="array" ref="J28">XLOOKUP($C28,main!Q$2:Q$673,main!$B$2:$B$673,"")</f>
        <v/>
      </c>
      <c r="K28" s="16"/>
      <c r="L28" s="11"/>
    </row>
    <row r="29">
      <c r="A29" s="13" t="s">
        <v>284</v>
      </c>
      <c r="B29" s="14" t="s">
        <v>302</v>
      </c>
      <c r="C29" s="14" t="s">
        <v>220</v>
      </c>
      <c r="D29" s="14" t="s">
        <v>312</v>
      </c>
      <c r="E29" s="11" t="str">
        <f t="shared" si="1"/>
        <v>YES</v>
      </c>
      <c r="F29" s="4" t="str">
        <f t="shared" si="2"/>
        <v>24 Feb
23 Feb
26 Feb</v>
      </c>
      <c r="G29" s="15">
        <f t="array" ref="G29">XLOOKUP($C29,main!N$2:N$673,main!$B$2:$B$673,"")</f>
        <v>46077</v>
      </c>
      <c r="H29" s="15">
        <f t="array" ref="H29">XLOOKUP($C29,main!O$2:O$673,main!$B$2:$B$673,"")</f>
        <v>46076</v>
      </c>
      <c r="I29" s="15">
        <f t="array" ref="I29">XLOOKUP($C29,main!P$2:P$673,main!$B$2:$B$673,"")</f>
        <v>46079</v>
      </c>
      <c r="J29" s="11" t="str">
        <f t="array" ref="J29">XLOOKUP($C29,main!Q$2:Q$673,main!$B$2:$B$673,"")</f>
        <v/>
      </c>
      <c r="K29" s="16"/>
      <c r="L29" s="11"/>
    </row>
    <row r="30">
      <c r="A30" s="13" t="s">
        <v>313</v>
      </c>
      <c r="B30" s="14" t="s">
        <v>314</v>
      </c>
      <c r="C30" s="14" t="s">
        <v>38</v>
      </c>
      <c r="D30" s="14" t="s">
        <v>315</v>
      </c>
      <c r="E30" s="11" t="str">
        <f t="shared" si="1"/>
        <v>YES</v>
      </c>
      <c r="F30" s="4" t="str">
        <f t="shared" si="2"/>
        <v>06 Jan
06 Jan</v>
      </c>
      <c r="G30" s="15">
        <f t="array" ref="G30">XLOOKUP($C30,main!N$2:N$673,main!$B$2:$B$673,"")</f>
        <v>46028</v>
      </c>
      <c r="H30" s="15">
        <f t="array" ref="H30">XLOOKUP($C30,main!O$2:O$673,main!$B$2:$B$673,"")</f>
        <v>46028</v>
      </c>
      <c r="I30" s="11" t="str">
        <f t="array" ref="I30">XLOOKUP($C30,main!P$2:P$673,main!$B$2:$B$673,"")</f>
        <v/>
      </c>
      <c r="J30" s="11" t="str">
        <f t="array" ref="J30">XLOOKUP($C30,main!Q$2:Q$673,main!$B$2:$B$673,"")</f>
        <v/>
      </c>
      <c r="K30" s="16"/>
      <c r="L30" s="11"/>
    </row>
    <row r="31">
      <c r="A31" s="13" t="s">
        <v>313</v>
      </c>
      <c r="B31" s="14" t="s">
        <v>314</v>
      </c>
      <c r="C31" s="14" t="s">
        <v>41</v>
      </c>
      <c r="D31" s="14" t="s">
        <v>316</v>
      </c>
      <c r="E31" s="11" t="str">
        <f t="shared" si="1"/>
        <v>YES</v>
      </c>
      <c r="F31" s="4" t="str">
        <f t="shared" si="2"/>
        <v>06 Jan
03 Feb
27 Jan
27 Jan</v>
      </c>
      <c r="G31" s="15">
        <f t="array" ref="G31">XLOOKUP($C31,main!N$2:N$673,main!$B$2:$B$673,"")</f>
        <v>46028</v>
      </c>
      <c r="H31" s="15">
        <f t="array" ref="H31">XLOOKUP($C31,main!O$2:O$673,main!$B$2:$B$673,"")</f>
        <v>46056</v>
      </c>
      <c r="I31" s="15">
        <f t="array" ref="I31">XLOOKUP($C31,main!P$2:P$673,main!$B$2:$B$673,"")</f>
        <v>46049</v>
      </c>
      <c r="J31" s="15">
        <f t="array" ref="J31">XLOOKUP($C31,main!Q$2:Q$673,main!$B$2:$B$673,"")</f>
        <v>46049</v>
      </c>
      <c r="K31" s="16"/>
      <c r="L31" s="11"/>
    </row>
    <row r="32">
      <c r="A32" s="13" t="s">
        <v>313</v>
      </c>
      <c r="B32" s="14" t="s">
        <v>314</v>
      </c>
      <c r="C32" s="14" t="s">
        <v>251</v>
      </c>
      <c r="D32" s="14" t="s">
        <v>317</v>
      </c>
      <c r="E32" s="11" t="str">
        <f t="shared" si="1"/>
        <v>YES</v>
      </c>
      <c r="F32" s="4" t="str">
        <f t="shared" si="2"/>
        <v>11 Mar
12 Mar
12 Mar</v>
      </c>
      <c r="G32" s="15">
        <f t="array" ref="G32">XLOOKUP($C32,main!N$2:N$673,main!$B$2:$B$673,"")</f>
        <v>46092</v>
      </c>
      <c r="H32" s="15">
        <f t="array" ref="H32">XLOOKUP($C32,main!O$2:O$673,main!$B$2:$B$673,"")</f>
        <v>46093</v>
      </c>
      <c r="I32" s="15">
        <f t="array" ref="I32">XLOOKUP($C32,main!P$2:P$673,main!$B$2:$B$673,"")</f>
        <v>46093</v>
      </c>
      <c r="J32" s="11" t="str">
        <f t="array" ref="J32">XLOOKUP($C32,main!Q$2:Q$673,main!$B$2:$B$673,"")</f>
        <v/>
      </c>
      <c r="K32" s="16"/>
      <c r="L32" s="11"/>
    </row>
    <row r="33">
      <c r="A33" s="13" t="s">
        <v>313</v>
      </c>
      <c r="B33" s="13" t="s">
        <v>314</v>
      </c>
      <c r="C33" s="13" t="s">
        <v>44</v>
      </c>
      <c r="D33" s="14" t="s">
        <v>318</v>
      </c>
      <c r="E33" s="11" t="str">
        <f t="shared" si="1"/>
        <v>YES</v>
      </c>
      <c r="F33" s="4" t="str">
        <f t="shared" si="2"/>
        <v>28 Jan
06 Jan
27 Jan</v>
      </c>
      <c r="G33" s="15">
        <f t="array" ref="G33">XLOOKUP($C33,main!N$2:N$673,main!$B$2:$B$673,"")</f>
        <v>46050</v>
      </c>
      <c r="H33" s="15">
        <f t="array" ref="H33">XLOOKUP($C33,main!O$2:O$673,main!$B$2:$B$673,"")</f>
        <v>46028</v>
      </c>
      <c r="I33" s="15">
        <f t="array" ref="I33">XLOOKUP($C33,main!P$2:P$673,main!$B$2:$B$673,"")</f>
        <v>46049</v>
      </c>
      <c r="J33" s="11" t="str">
        <f t="array" ref="J33">XLOOKUP($C33,main!Q$2:Q$673,main!$B$2:$B$673,"")</f>
        <v/>
      </c>
      <c r="K33" s="16"/>
      <c r="L33" s="11"/>
    </row>
    <row r="34">
      <c r="A34" s="13" t="s">
        <v>313</v>
      </c>
      <c r="B34" s="13" t="s">
        <v>314</v>
      </c>
      <c r="C34" s="17">
        <v>555.0</v>
      </c>
      <c r="D34" s="14" t="s">
        <v>319</v>
      </c>
      <c r="E34" s="11" t="str">
        <f t="shared" si="1"/>
        <v>NO</v>
      </c>
      <c r="F34" s="4" t="str">
        <f t="shared" si="2"/>
        <v/>
      </c>
      <c r="G34" s="11" t="str">
        <f t="array" ref="G34">XLOOKUP($C34,main!N$2:N$673,main!$B$2:$B$673,"")</f>
        <v/>
      </c>
      <c r="H34" s="11" t="str">
        <f t="array" ref="H34">XLOOKUP($C34,main!O$2:O$673,main!$B$2:$B$673,"")</f>
        <v/>
      </c>
      <c r="I34" s="11" t="str">
        <f t="array" ref="I34">XLOOKUP($C34,main!P$2:P$673,main!$B$2:$B$673,"")</f>
        <v/>
      </c>
      <c r="J34" s="11" t="str">
        <f t="array" ref="J34">XLOOKUP($C34,main!Q$2:Q$673,main!$B$2:$B$673,"")</f>
        <v/>
      </c>
      <c r="K34" s="16"/>
      <c r="L34" s="11"/>
    </row>
    <row r="35">
      <c r="A35" s="13" t="s">
        <v>313</v>
      </c>
      <c r="B35" s="13" t="s">
        <v>314</v>
      </c>
      <c r="C35" s="13" t="s">
        <v>44</v>
      </c>
      <c r="D35" s="14" t="s">
        <v>320</v>
      </c>
      <c r="E35" s="11" t="str">
        <f t="shared" si="1"/>
        <v>YES</v>
      </c>
      <c r="F35" s="4" t="str">
        <f t="shared" si="2"/>
        <v>28 Jan
06 Jan
27 Jan</v>
      </c>
      <c r="G35" s="15">
        <f t="array" ref="G35">XLOOKUP($C35,main!N$2:N$673,main!$B$2:$B$673,"")</f>
        <v>46050</v>
      </c>
      <c r="H35" s="15">
        <f t="array" ref="H35">XLOOKUP($C35,main!O$2:O$673,main!$B$2:$B$673,"")</f>
        <v>46028</v>
      </c>
      <c r="I35" s="15">
        <f t="array" ref="I35">XLOOKUP($C35,main!P$2:P$673,main!$B$2:$B$673,"")</f>
        <v>46049</v>
      </c>
      <c r="J35" s="11" t="str">
        <f t="array" ref="J35">XLOOKUP($C35,main!Q$2:Q$673,main!$B$2:$B$673,"")</f>
        <v/>
      </c>
      <c r="K35" s="16"/>
      <c r="L35" s="11"/>
    </row>
    <row r="36">
      <c r="A36" s="13" t="s">
        <v>313</v>
      </c>
      <c r="B36" s="13" t="s">
        <v>314</v>
      </c>
      <c r="C36" s="13" t="s">
        <v>85</v>
      </c>
      <c r="D36" s="14" t="s">
        <v>321</v>
      </c>
      <c r="E36" s="11" t="str">
        <f t="shared" si="1"/>
        <v>YES</v>
      </c>
      <c r="F36" s="4" t="str">
        <f t="shared" si="2"/>
        <v>09 Jan</v>
      </c>
      <c r="G36" s="11" t="str">
        <f t="array" ref="G36">XLOOKUP($C36,main!N$2:N$673,main!$B$2:$B$673,"")</f>
        <v/>
      </c>
      <c r="H36" s="11" t="str">
        <f t="array" ref="H36">XLOOKUP($C36,main!O$2:O$673,main!$B$2:$B$673,"")</f>
        <v/>
      </c>
      <c r="I36" s="15">
        <f t="array" ref="I36">XLOOKUP($C36,main!P$2:P$673,main!$B$2:$B$673,"")</f>
        <v>46031</v>
      </c>
      <c r="J36" s="11" t="str">
        <f t="array" ref="J36">XLOOKUP($C36,main!Q$2:Q$673,main!$B$2:$B$673,"")</f>
        <v/>
      </c>
      <c r="K36" s="16"/>
      <c r="L36" s="11"/>
    </row>
    <row r="37">
      <c r="A37" s="13" t="s">
        <v>313</v>
      </c>
      <c r="B37" s="13" t="s">
        <v>314</v>
      </c>
      <c r="C37" s="13" t="s">
        <v>69</v>
      </c>
      <c r="D37" s="14" t="s">
        <v>322</v>
      </c>
      <c r="E37" s="11" t="str">
        <f t="shared" si="1"/>
        <v>YES</v>
      </c>
      <c r="F37" s="4" t="str">
        <f t="shared" si="2"/>
        <v>15 Jan
08 Jan</v>
      </c>
      <c r="G37" s="11" t="str">
        <f t="array" ref="G37">XLOOKUP($C37,main!N$2:N$673,main!$B$2:$B$673,"")</f>
        <v/>
      </c>
      <c r="H37" s="15">
        <f t="array" ref="H37">XLOOKUP($C37,main!O$2:O$673,main!$B$2:$B$673,"")</f>
        <v>46037</v>
      </c>
      <c r="I37" s="15">
        <f t="array" ref="I37">XLOOKUP($C37,main!P$2:P$673,main!$B$2:$B$673,"")</f>
        <v>46030</v>
      </c>
      <c r="J37" s="11" t="str">
        <f t="array" ref="J37">XLOOKUP($C37,main!Q$2:Q$673,main!$B$2:$B$673,"")</f>
        <v/>
      </c>
      <c r="K37" s="16"/>
      <c r="L37" s="11"/>
    </row>
    <row r="38">
      <c r="A38" s="13" t="s">
        <v>313</v>
      </c>
      <c r="B38" s="14" t="s">
        <v>314</v>
      </c>
      <c r="C38" s="13" t="s">
        <v>42</v>
      </c>
      <c r="D38" s="13" t="s">
        <v>323</v>
      </c>
      <c r="E38" s="12" t="s">
        <v>324</v>
      </c>
      <c r="F38" s="12" t="s">
        <v>325</v>
      </c>
      <c r="G38" s="11" t="str">
        <f t="array" ref="G38">XLOOKUP($C38,main!N$2:N$673,main!$B$2:$B$673,"")</f>
        <v/>
      </c>
      <c r="H38" s="15">
        <f t="array" ref="H38">XLOOKUP($C38,main!O$2:O$673,main!$B$2:$B$673,"")</f>
        <v>46028</v>
      </c>
      <c r="I38" s="11" t="str">
        <f t="array" ref="I38">XLOOKUP($C38,main!P$2:P$673,main!$B$2:$B$673,"")</f>
        <v/>
      </c>
      <c r="J38" s="11" t="str">
        <f t="array" ref="J38">XLOOKUP($C38,main!Q$2:Q$673,main!$B$2:$B$673,"")</f>
        <v/>
      </c>
      <c r="K38" s="12"/>
      <c r="L38" s="11"/>
    </row>
    <row r="39">
      <c r="A39" s="13" t="s">
        <v>313</v>
      </c>
      <c r="B39" s="13" t="s">
        <v>326</v>
      </c>
      <c r="C39" s="13" t="s">
        <v>252</v>
      </c>
      <c r="D39" s="14" t="s">
        <v>327</v>
      </c>
      <c r="E39" s="11" t="str">
        <f t="shared" ref="E39:E191" si="3">if(count(G39:J39)=0,"NO","YES")</f>
        <v>YES</v>
      </c>
      <c r="F39" s="4" t="str">
        <f t="shared" ref="F39:F191" si="4">if(E39="NO","",textjoin(char(10),"TRUE",text(G39,"DD MMM"),text(H39,"DD MMM"),text(I39,"DD MMM"),text(J39,"DD MMM")))</f>
        <v>11 Mar</v>
      </c>
      <c r="G39" s="11" t="str">
        <f t="array" ref="G39">XLOOKUP($C39,main!N$2:N$673,main!$B$2:$B$673,"")</f>
        <v/>
      </c>
      <c r="H39" s="15">
        <f t="array" ref="H39">XLOOKUP($C39,main!O$2:O$673,main!$B$2:$B$673,"")</f>
        <v>46092</v>
      </c>
      <c r="I39" s="11" t="str">
        <f t="array" ref="I39">XLOOKUP($C39,main!P$2:P$673,main!$B$2:$B$673,"")</f>
        <v/>
      </c>
      <c r="J39" s="11" t="str">
        <f t="array" ref="J39">XLOOKUP($C39,main!Q$2:Q$673,main!$B$2:$B$673,"")</f>
        <v/>
      </c>
      <c r="K39" s="16"/>
      <c r="L39" s="11"/>
    </row>
    <row r="40">
      <c r="A40" s="13" t="s">
        <v>313</v>
      </c>
      <c r="B40" s="13" t="s">
        <v>326</v>
      </c>
      <c r="C40" s="13" t="s">
        <v>56</v>
      </c>
      <c r="D40" s="14" t="s">
        <v>328</v>
      </c>
      <c r="E40" s="11" t="str">
        <f t="shared" si="3"/>
        <v>YES</v>
      </c>
      <c r="F40" s="4" t="str">
        <f t="shared" si="4"/>
        <v>07 Jan</v>
      </c>
      <c r="G40" s="11" t="str">
        <f t="array" ref="G40">XLOOKUP($C40,main!N$2:N$673,main!$B$2:$B$673,"")</f>
        <v/>
      </c>
      <c r="H40" s="15">
        <f t="array" ref="H40">XLOOKUP($C40,main!O$2:O$673,main!$B$2:$B$673,"")</f>
        <v>46029</v>
      </c>
      <c r="I40" s="11" t="str">
        <f t="array" ref="I40">XLOOKUP($C40,main!P$2:P$673,main!$B$2:$B$673,"")</f>
        <v/>
      </c>
      <c r="J40" s="11" t="str">
        <f t="array" ref="J40">XLOOKUP($C40,main!Q$2:Q$673,main!$B$2:$B$673,"")</f>
        <v/>
      </c>
      <c r="K40" s="16"/>
      <c r="L40" s="11"/>
    </row>
    <row r="41">
      <c r="A41" s="13" t="s">
        <v>313</v>
      </c>
      <c r="B41" s="14" t="s">
        <v>326</v>
      </c>
      <c r="C41" s="14" t="s">
        <v>56</v>
      </c>
      <c r="D41" s="14" t="s">
        <v>329</v>
      </c>
      <c r="E41" s="11" t="str">
        <f t="shared" si="3"/>
        <v>YES</v>
      </c>
      <c r="F41" s="4" t="str">
        <f t="shared" si="4"/>
        <v>07 Jan</v>
      </c>
      <c r="G41" s="11" t="str">
        <f t="array" ref="G41">XLOOKUP($C41,main!N$2:N$673,main!$B$2:$B$673,"")</f>
        <v/>
      </c>
      <c r="H41" s="15">
        <f t="array" ref="H41">XLOOKUP($C41,main!O$2:O$673,main!$B$2:$B$673,"")</f>
        <v>46029</v>
      </c>
      <c r="I41" s="11" t="str">
        <f t="array" ref="I41">XLOOKUP($C41,main!P$2:P$673,main!$B$2:$B$673,"")</f>
        <v/>
      </c>
      <c r="J41" s="11" t="str">
        <f t="array" ref="J41">XLOOKUP($C41,main!Q$2:Q$673,main!$B$2:$B$673,"")</f>
        <v/>
      </c>
      <c r="K41" s="11"/>
      <c r="L41" s="11"/>
    </row>
    <row r="42">
      <c r="A42" s="13" t="s">
        <v>284</v>
      </c>
      <c r="B42" s="14" t="s">
        <v>330</v>
      </c>
      <c r="C42" s="14" t="s">
        <v>331</v>
      </c>
      <c r="D42" s="14" t="s">
        <v>332</v>
      </c>
      <c r="E42" s="11" t="str">
        <f t="shared" si="3"/>
        <v>NO</v>
      </c>
      <c r="F42" s="4" t="str">
        <f t="shared" si="4"/>
        <v/>
      </c>
      <c r="G42" s="11" t="str">
        <f t="array" ref="G42">XLOOKUP($C42,main!N$2:N$673,main!$B$2:$B$673,"")</f>
        <v/>
      </c>
      <c r="H42" s="11" t="str">
        <f t="array" ref="H42">XLOOKUP($C42,main!O$2:O$673,main!$B$2:$B$673,"")</f>
        <v/>
      </c>
      <c r="I42" s="11" t="str">
        <f t="array" ref="I42">XLOOKUP($C42,main!P$2:P$673,main!$B$2:$B$673,"")</f>
        <v/>
      </c>
      <c r="J42" s="11" t="str">
        <f t="array" ref="J42">XLOOKUP($C42,main!Q$2:Q$673,main!$B$2:$B$673,"")</f>
        <v/>
      </c>
      <c r="K42" s="11"/>
      <c r="L42" s="11"/>
    </row>
    <row r="43">
      <c r="A43" s="13" t="s">
        <v>284</v>
      </c>
      <c r="B43" s="14" t="s">
        <v>330</v>
      </c>
      <c r="C43" s="14" t="s">
        <v>333</v>
      </c>
      <c r="D43" s="14" t="s">
        <v>334</v>
      </c>
      <c r="E43" s="11" t="str">
        <f t="shared" si="3"/>
        <v>NO</v>
      </c>
      <c r="F43" s="4" t="str">
        <f t="shared" si="4"/>
        <v/>
      </c>
      <c r="G43" s="11" t="str">
        <f t="array" ref="G43">XLOOKUP($C43,main!N$2:N$673,main!$B$2:$B$673,"")</f>
        <v/>
      </c>
      <c r="H43" s="11" t="str">
        <f t="array" ref="H43">XLOOKUP($C43,main!O$2:O$673,main!$B$2:$B$673,"")</f>
        <v/>
      </c>
      <c r="I43" s="11" t="str">
        <f t="array" ref="I43">XLOOKUP($C43,main!P$2:P$673,main!$B$2:$B$673,"")</f>
        <v/>
      </c>
      <c r="J43" s="11" t="str">
        <f t="array" ref="J43">XLOOKUP($C43,main!Q$2:Q$673,main!$B$2:$B$673,"")</f>
        <v/>
      </c>
      <c r="K43" s="11"/>
      <c r="L43" s="11"/>
    </row>
    <row r="44">
      <c r="A44" s="13" t="s">
        <v>284</v>
      </c>
      <c r="B44" s="14" t="s">
        <v>330</v>
      </c>
      <c r="C44" s="14" t="s">
        <v>227</v>
      </c>
      <c r="D44" s="14" t="s">
        <v>335</v>
      </c>
      <c r="E44" s="11" t="str">
        <f t="shared" si="3"/>
        <v>YES</v>
      </c>
      <c r="F44" s="4" t="str">
        <f t="shared" si="4"/>
        <v>17 Mar
24 Feb</v>
      </c>
      <c r="G44" s="11" t="str">
        <f t="array" ref="G44">XLOOKUP($C44,main!N$2:N$673,main!$B$2:$B$673,"")</f>
        <v/>
      </c>
      <c r="H44" s="15">
        <f t="array" ref="H44">XLOOKUP($C44,main!O$2:O$673,main!$B$2:$B$673,"")</f>
        <v>46098</v>
      </c>
      <c r="I44" s="15">
        <f t="array" ref="I44">XLOOKUP($C44,main!P$2:P$673,main!$B$2:$B$673,"")</f>
        <v>46077</v>
      </c>
      <c r="J44" s="11" t="str">
        <f t="array" ref="J44">XLOOKUP($C44,main!Q$2:Q$673,main!$B$2:$B$673,"")</f>
        <v/>
      </c>
      <c r="K44" s="11"/>
      <c r="L44" s="11"/>
    </row>
    <row r="45">
      <c r="A45" s="13" t="s">
        <v>313</v>
      </c>
      <c r="B45" s="14" t="s">
        <v>336</v>
      </c>
      <c r="C45" s="14" t="s">
        <v>182</v>
      </c>
      <c r="D45" s="14" t="s">
        <v>337</v>
      </c>
      <c r="E45" s="11" t="str">
        <f t="shared" si="3"/>
        <v>YES</v>
      </c>
      <c r="F45" s="4" t="str">
        <f t="shared" si="4"/>
        <v>05 Feb
11 Mar</v>
      </c>
      <c r="G45" s="15">
        <f t="array" ref="G45">XLOOKUP($C45,main!N$2:N$673,main!$B$2:$B$673,"")</f>
        <v>46058</v>
      </c>
      <c r="H45" s="11" t="str">
        <f t="array" ref="H45">XLOOKUP($C45,main!O$2:O$673,main!$B$2:$B$673,"")</f>
        <v/>
      </c>
      <c r="I45" s="15">
        <f t="array" ref="I45">XLOOKUP($C45,main!P$2:P$673,main!$B$2:$B$673,"")</f>
        <v>46092</v>
      </c>
      <c r="J45" s="11" t="str">
        <f t="array" ref="J45">XLOOKUP($C45,main!Q$2:Q$673,main!$B$2:$B$673,"")</f>
        <v/>
      </c>
      <c r="K45" s="11"/>
      <c r="L45" s="11"/>
    </row>
    <row r="46">
      <c r="A46" s="13" t="s">
        <v>313</v>
      </c>
      <c r="B46" s="14" t="s">
        <v>336</v>
      </c>
      <c r="C46" s="14" t="s">
        <v>183</v>
      </c>
      <c r="D46" s="14" t="s">
        <v>338</v>
      </c>
      <c r="E46" s="11" t="str">
        <f t="shared" si="3"/>
        <v>YES</v>
      </c>
      <c r="F46" s="4" t="str">
        <f t="shared" si="4"/>
        <v>05 Feb</v>
      </c>
      <c r="G46" s="15">
        <f t="array" ref="G46">XLOOKUP($C46,main!N$2:N$673,main!$B$2:$B$673,"")</f>
        <v>46058</v>
      </c>
      <c r="H46" s="11" t="str">
        <f t="array" ref="H46">XLOOKUP($C46,main!O$2:O$673,main!$B$2:$B$673,"")</f>
        <v/>
      </c>
      <c r="I46" s="11" t="str">
        <f t="array" ref="I46">XLOOKUP($C46,main!P$2:P$673,main!$B$2:$B$673,"")</f>
        <v/>
      </c>
      <c r="J46" s="11" t="str">
        <f t="array" ref="J46">XLOOKUP($C46,main!Q$2:Q$673,main!$B$2:$B$673,"")</f>
        <v/>
      </c>
      <c r="K46" s="11"/>
      <c r="L46" s="11"/>
    </row>
    <row r="47">
      <c r="A47" s="13" t="s">
        <v>313</v>
      </c>
      <c r="B47" s="14" t="s">
        <v>336</v>
      </c>
      <c r="C47" s="14" t="s">
        <v>182</v>
      </c>
      <c r="D47" s="14" t="s">
        <v>339</v>
      </c>
      <c r="E47" s="11" t="str">
        <f t="shared" si="3"/>
        <v>YES</v>
      </c>
      <c r="F47" s="4" t="str">
        <f t="shared" si="4"/>
        <v>05 Feb
11 Mar</v>
      </c>
      <c r="G47" s="15">
        <f t="array" ref="G47">XLOOKUP($C47,main!N$2:N$673,main!$B$2:$B$673,"")</f>
        <v>46058</v>
      </c>
      <c r="H47" s="11" t="str">
        <f t="array" ref="H47">XLOOKUP($C47,main!O$2:O$673,main!$B$2:$B$673,"")</f>
        <v/>
      </c>
      <c r="I47" s="15">
        <f t="array" ref="I47">XLOOKUP($C47,main!P$2:P$673,main!$B$2:$B$673,"")</f>
        <v>46092</v>
      </c>
      <c r="J47" s="11" t="str">
        <f t="array" ref="J47">XLOOKUP($C47,main!Q$2:Q$673,main!$B$2:$B$673,"")</f>
        <v/>
      </c>
      <c r="K47" s="11"/>
      <c r="L47" s="11"/>
    </row>
    <row r="48">
      <c r="A48" s="13" t="s">
        <v>313</v>
      </c>
      <c r="B48" s="14" t="s">
        <v>336</v>
      </c>
      <c r="C48" s="14" t="s">
        <v>175</v>
      </c>
      <c r="D48" s="14" t="s">
        <v>340</v>
      </c>
      <c r="E48" s="11" t="str">
        <f t="shared" si="3"/>
        <v>YES</v>
      </c>
      <c r="F48" s="4" t="str">
        <f t="shared" si="4"/>
        <v>03 Feb
11 Feb</v>
      </c>
      <c r="G48" s="11" t="str">
        <f t="array" ref="G48">XLOOKUP($C48,main!N$2:N$673,main!$B$2:$B$673,"")</f>
        <v/>
      </c>
      <c r="H48" s="11" t="str">
        <f t="array" ref="H48">XLOOKUP($C48,main!O$2:O$673,main!$B$2:$B$673,"")</f>
        <v/>
      </c>
      <c r="I48" s="15">
        <f t="array" ref="I48">XLOOKUP($C48,main!P$2:P$673,main!$B$2:$B$673,"")</f>
        <v>46056</v>
      </c>
      <c r="J48" s="15">
        <f t="array" ref="J48">XLOOKUP($C48,main!Q$2:Q$673,main!$B$2:$B$673,"")</f>
        <v>46064</v>
      </c>
      <c r="K48" s="11"/>
      <c r="L48" s="11"/>
    </row>
    <row r="49">
      <c r="A49" s="13" t="s">
        <v>313</v>
      </c>
      <c r="B49" s="14" t="s">
        <v>336</v>
      </c>
      <c r="C49" s="14" t="s">
        <v>341</v>
      </c>
      <c r="D49" s="14" t="s">
        <v>342</v>
      </c>
      <c r="E49" s="11" t="str">
        <f t="shared" si="3"/>
        <v>NO</v>
      </c>
      <c r="F49" s="4" t="str">
        <f t="shared" si="4"/>
        <v/>
      </c>
      <c r="G49" s="11" t="str">
        <f t="array" ref="G49">XLOOKUP($C49,main!N$2:N$673,main!$B$2:$B$673,"")</f>
        <v/>
      </c>
      <c r="H49" s="11" t="str">
        <f t="array" ref="H49">XLOOKUP($C49,main!O$2:O$673,main!$B$2:$B$673,"")</f>
        <v/>
      </c>
      <c r="I49" s="11" t="str">
        <f t="array" ref="I49">XLOOKUP($C49,main!P$2:P$673,main!$B$2:$B$673,"")</f>
        <v/>
      </c>
      <c r="J49" s="11" t="str">
        <f t="array" ref="J49">XLOOKUP($C49,main!Q$2:Q$673,main!$B$2:$B$673,"")</f>
        <v/>
      </c>
      <c r="K49" s="11"/>
      <c r="L49" s="11"/>
    </row>
    <row r="50">
      <c r="A50" s="13" t="s">
        <v>313</v>
      </c>
      <c r="B50" s="14" t="s">
        <v>336</v>
      </c>
      <c r="C50" s="14" t="s">
        <v>39</v>
      </c>
      <c r="D50" s="14" t="s">
        <v>343</v>
      </c>
      <c r="E50" s="11" t="str">
        <f t="shared" si="3"/>
        <v>YES</v>
      </c>
      <c r="F50" s="4" t="str">
        <f t="shared" si="4"/>
        <v>20 Jan
23 Feb
06 Jan</v>
      </c>
      <c r="G50" s="15">
        <f t="array" ref="G50">XLOOKUP($C50,main!N$2:N$673,main!$B$2:$B$673,"")</f>
        <v>46042</v>
      </c>
      <c r="H50" s="15">
        <f t="array" ref="H50">XLOOKUP($C50,main!O$2:O$673,main!$B$2:$B$673,"")</f>
        <v>46076</v>
      </c>
      <c r="I50" s="15">
        <f t="array" ref="I50">XLOOKUP($C50,main!P$2:P$673,main!$B$2:$B$673,"")</f>
        <v>46028</v>
      </c>
      <c r="J50" s="11" t="str">
        <f t="array" ref="J50">XLOOKUP($C50,main!Q$2:Q$673,main!$B$2:$B$673,"")</f>
        <v/>
      </c>
      <c r="K50" s="11"/>
      <c r="L50" s="11"/>
    </row>
    <row r="51">
      <c r="A51" s="13" t="s">
        <v>313</v>
      </c>
      <c r="B51" s="14" t="s">
        <v>336</v>
      </c>
      <c r="C51" s="14" t="s">
        <v>255</v>
      </c>
      <c r="D51" s="14" t="s">
        <v>344</v>
      </c>
      <c r="E51" s="11" t="str">
        <f t="shared" si="3"/>
        <v>YES</v>
      </c>
      <c r="F51" s="4" t="str">
        <f t="shared" si="4"/>
        <v>13 Mar
13 Mar</v>
      </c>
      <c r="G51" s="15">
        <f t="array" ref="G51">XLOOKUP($C51,main!N$2:N$673,main!$B$2:$B$673,"")</f>
        <v>46094</v>
      </c>
      <c r="H51" s="11" t="str">
        <f t="array" ref="H51">XLOOKUP($C51,main!O$2:O$673,main!$B$2:$B$673,"")</f>
        <v/>
      </c>
      <c r="I51" s="11" t="str">
        <f t="array" ref="I51">XLOOKUP($C51,main!P$2:P$673,main!$B$2:$B$673,"")</f>
        <v/>
      </c>
      <c r="J51" s="15">
        <f t="array" ref="J51">XLOOKUP($C51,main!Q$2:Q$673,main!$B$2:$B$673,"")</f>
        <v>46094</v>
      </c>
      <c r="K51" s="11"/>
      <c r="L51" s="11"/>
    </row>
    <row r="52">
      <c r="A52" s="13" t="s">
        <v>313</v>
      </c>
      <c r="B52" s="14" t="s">
        <v>336</v>
      </c>
      <c r="C52" s="14" t="s">
        <v>345</v>
      </c>
      <c r="D52" s="14" t="s">
        <v>346</v>
      </c>
      <c r="E52" s="11" t="str">
        <f t="shared" si="3"/>
        <v>NO</v>
      </c>
      <c r="F52" s="4" t="str">
        <f t="shared" si="4"/>
        <v/>
      </c>
      <c r="G52" s="11" t="str">
        <f t="array" ref="G52">XLOOKUP($C52,main!N$2:N$673,main!$B$2:$B$673,"")</f>
        <v/>
      </c>
      <c r="H52" s="11" t="str">
        <f t="array" ref="H52">XLOOKUP($C52,main!O$2:O$673,main!$B$2:$B$673,"")</f>
        <v/>
      </c>
      <c r="I52" s="11" t="str">
        <f t="array" ref="I52">XLOOKUP($C52,main!P$2:P$673,main!$B$2:$B$673,"")</f>
        <v/>
      </c>
      <c r="J52" s="11" t="str">
        <f t="array" ref="J52">XLOOKUP($C52,main!Q$2:Q$673,main!$B$2:$B$673,"")</f>
        <v/>
      </c>
      <c r="K52" s="11"/>
      <c r="L52" s="11"/>
    </row>
    <row r="53">
      <c r="A53" s="13" t="s">
        <v>313</v>
      </c>
      <c r="B53" s="13" t="s">
        <v>336</v>
      </c>
      <c r="C53" s="13" t="s">
        <v>255</v>
      </c>
      <c r="D53" s="14" t="s">
        <v>347</v>
      </c>
      <c r="E53" s="11" t="str">
        <f t="shared" si="3"/>
        <v>YES</v>
      </c>
      <c r="F53" s="4" t="str">
        <f t="shared" si="4"/>
        <v>13 Mar
13 Mar</v>
      </c>
      <c r="G53" s="15">
        <f t="array" ref="G53">XLOOKUP($C53,main!N$2:N$673,main!$B$2:$B$673,"")</f>
        <v>46094</v>
      </c>
      <c r="H53" s="11" t="str">
        <f t="array" ref="H53">XLOOKUP($C53,main!O$2:O$673,main!$B$2:$B$673,"")</f>
        <v/>
      </c>
      <c r="I53" s="11" t="str">
        <f t="array" ref="I53">XLOOKUP($C53,main!P$2:P$673,main!$B$2:$B$673,"")</f>
        <v/>
      </c>
      <c r="J53" s="15">
        <f t="array" ref="J53">XLOOKUP($C53,main!Q$2:Q$673,main!$B$2:$B$673,"")</f>
        <v>46094</v>
      </c>
      <c r="K53" s="16"/>
      <c r="L53" s="11"/>
    </row>
    <row r="54">
      <c r="A54" s="13" t="s">
        <v>313</v>
      </c>
      <c r="B54" s="13" t="s">
        <v>336</v>
      </c>
      <c r="C54" s="13" t="s">
        <v>174</v>
      </c>
      <c r="D54" s="14" t="s">
        <v>348</v>
      </c>
      <c r="E54" s="11" t="str">
        <f t="shared" si="3"/>
        <v>YES</v>
      </c>
      <c r="F54" s="4" t="str">
        <f t="shared" si="4"/>
        <v>03 Feb</v>
      </c>
      <c r="G54" s="15">
        <f t="array" ref="G54">XLOOKUP($C54,main!N$2:N$673,main!$B$2:$B$673,"")</f>
        <v>46056</v>
      </c>
      <c r="H54" s="11" t="str">
        <f t="array" ref="H54">XLOOKUP($C54,main!O$2:O$673,main!$B$2:$B$673,"")</f>
        <v/>
      </c>
      <c r="I54" s="11" t="str">
        <f t="array" ref="I54">XLOOKUP($C54,main!P$2:P$673,main!$B$2:$B$673,"")</f>
        <v/>
      </c>
      <c r="J54" s="11" t="str">
        <f t="array" ref="J54">XLOOKUP($C54,main!Q$2:Q$673,main!$B$2:$B$673,"")</f>
        <v/>
      </c>
      <c r="K54" s="16"/>
      <c r="L54" s="11"/>
    </row>
    <row r="55">
      <c r="A55" s="13" t="s">
        <v>21</v>
      </c>
      <c r="B55" s="14" t="s">
        <v>23</v>
      </c>
      <c r="C55" s="14" t="s">
        <v>23</v>
      </c>
      <c r="D55" s="14" t="s">
        <v>349</v>
      </c>
      <c r="E55" s="11" t="str">
        <f t="shared" si="3"/>
        <v>YES</v>
      </c>
      <c r="F55" s="4" t="str">
        <f t="shared" si="4"/>
        <v>05 Jan
22 Jan</v>
      </c>
      <c r="G55" s="15">
        <f t="array" ref="G55">XLOOKUP($C55,main!N$2:N$673,main!$B$2:$B$673,"")</f>
        <v>46027</v>
      </c>
      <c r="H55" s="15">
        <f t="array" ref="H55">XLOOKUP($C55,main!O$2:O$673,main!$B$2:$B$673,"")</f>
        <v>46044</v>
      </c>
      <c r="I55" s="11" t="str">
        <f t="array" ref="I55">XLOOKUP($C55,main!P$2:P$673,main!$B$2:$B$673,"")</f>
        <v/>
      </c>
      <c r="J55" s="11" t="str">
        <f t="array" ref="J55">XLOOKUP($C55,main!Q$2:Q$673,main!$B$2:$B$673,"")</f>
        <v/>
      </c>
      <c r="K55" s="11"/>
      <c r="L55" s="11"/>
    </row>
    <row r="56">
      <c r="A56" s="13" t="s">
        <v>21</v>
      </c>
      <c r="B56" s="14" t="s">
        <v>23</v>
      </c>
      <c r="C56" s="14" t="s">
        <v>48</v>
      </c>
      <c r="D56" s="14" t="s">
        <v>350</v>
      </c>
      <c r="E56" s="11" t="str">
        <f t="shared" si="3"/>
        <v>YES</v>
      </c>
      <c r="F56" s="4" t="str">
        <f t="shared" si="4"/>
        <v>07 Jan
14 Jan
15 Jan</v>
      </c>
      <c r="G56" s="15">
        <f t="array" ref="G56">XLOOKUP($C56,main!N$2:N$673,main!$B$2:$B$673,"")</f>
        <v>46029</v>
      </c>
      <c r="H56" s="15">
        <f t="array" ref="H56">XLOOKUP($C56,main!O$2:O$673,main!$B$2:$B$673,"")</f>
        <v>46036</v>
      </c>
      <c r="I56" s="15">
        <f t="array" ref="I56">XLOOKUP($C56,main!P$2:P$673,main!$B$2:$B$673,"")</f>
        <v>46037</v>
      </c>
      <c r="J56" s="11" t="str">
        <f t="array" ref="J56">XLOOKUP($C56,main!Q$2:Q$673,main!$B$2:$B$673,"")</f>
        <v/>
      </c>
      <c r="K56" s="11"/>
      <c r="L56" s="11"/>
    </row>
    <row r="57">
      <c r="A57" s="13" t="s">
        <v>21</v>
      </c>
      <c r="B57" s="14" t="s">
        <v>23</v>
      </c>
      <c r="C57" s="14" t="s">
        <v>132</v>
      </c>
      <c r="D57" s="14" t="s">
        <v>351</v>
      </c>
      <c r="E57" s="11" t="str">
        <f t="shared" si="3"/>
        <v>YES</v>
      </c>
      <c r="F57" s="4" t="str">
        <f t="shared" si="4"/>
        <v>20 Jan</v>
      </c>
      <c r="G57" s="11" t="str">
        <f t="array" ref="G57">XLOOKUP($C57,main!N$2:N$673,main!$B$2:$B$673,"")</f>
        <v/>
      </c>
      <c r="H57" s="15">
        <f t="array" ref="H57">XLOOKUP($C57,main!O$2:O$673,main!$B$2:$B$673,"")</f>
        <v>46042</v>
      </c>
      <c r="I57" s="11" t="str">
        <f t="array" ref="I57">XLOOKUP($C57,main!P$2:P$673,main!$B$2:$B$673,"")</f>
        <v/>
      </c>
      <c r="J57" s="11" t="str">
        <f t="array" ref="J57">XLOOKUP($C57,main!Q$2:Q$673,main!$B$2:$B$673,"")</f>
        <v/>
      </c>
      <c r="K57" s="11"/>
      <c r="L57" s="11"/>
    </row>
    <row r="58">
      <c r="A58" s="13" t="s">
        <v>21</v>
      </c>
      <c r="B58" s="14" t="s">
        <v>23</v>
      </c>
      <c r="C58" s="14" t="s">
        <v>105</v>
      </c>
      <c r="D58" s="14" t="s">
        <v>105</v>
      </c>
      <c r="E58" s="11" t="str">
        <f t="shared" si="3"/>
        <v>YES</v>
      </c>
      <c r="F58" s="4" t="str">
        <f t="shared" si="4"/>
        <v>22 Jan
10 Feb
13 Jan</v>
      </c>
      <c r="G58" s="11" t="str">
        <f t="array" ref="G58">XLOOKUP($C58,main!N$2:N$673,main!$B$2:$B$673,"")</f>
        <v/>
      </c>
      <c r="H58" s="15">
        <f t="array" ref="H58">XLOOKUP($C58,main!O$2:O$673,main!$B$2:$B$673,"")</f>
        <v>46044</v>
      </c>
      <c r="I58" s="15">
        <f t="array" ref="I58">XLOOKUP($C58,main!P$2:P$673,main!$B$2:$B$673,"")</f>
        <v>46063</v>
      </c>
      <c r="J58" s="15">
        <f t="array" ref="J58">XLOOKUP($C58,main!Q$2:Q$673,main!$B$2:$B$673,"")</f>
        <v>46035</v>
      </c>
      <c r="K58" s="16"/>
      <c r="L58" s="11"/>
    </row>
    <row r="59">
      <c r="A59" s="13" t="s">
        <v>21</v>
      </c>
      <c r="B59" s="14" t="s">
        <v>23</v>
      </c>
      <c r="C59" s="14" t="s">
        <v>114</v>
      </c>
      <c r="D59" s="14" t="s">
        <v>352</v>
      </c>
      <c r="E59" s="11" t="str">
        <f t="shared" si="3"/>
        <v>YES</v>
      </c>
      <c r="F59" s="4" t="str">
        <f t="shared" si="4"/>
        <v>20 Mar
02 Feb
15 Jan</v>
      </c>
      <c r="G59" s="11" t="str">
        <f t="array" ref="G59">XLOOKUP($C59,main!N$2:N$673,main!$B$2:$B$673,"")</f>
        <v/>
      </c>
      <c r="H59" s="15">
        <f t="array" ref="H59">XLOOKUP($C59,main!O$2:O$673,main!$B$2:$B$673,"")</f>
        <v>46101</v>
      </c>
      <c r="I59" s="15">
        <f t="array" ref="I59">XLOOKUP($C59,main!P$2:P$673,main!$B$2:$B$673,"")</f>
        <v>46055</v>
      </c>
      <c r="J59" s="15">
        <f t="array" ref="J59">XLOOKUP($C59,main!Q$2:Q$673,main!$B$2:$B$673,"")</f>
        <v>46037</v>
      </c>
      <c r="K59" s="16"/>
      <c r="L59" s="11"/>
    </row>
    <row r="60">
      <c r="A60" s="13" t="s">
        <v>21</v>
      </c>
      <c r="B60" s="14" t="s">
        <v>23</v>
      </c>
      <c r="C60" s="14" t="s">
        <v>353</v>
      </c>
      <c r="D60" s="14" t="s">
        <v>354</v>
      </c>
      <c r="E60" s="11" t="str">
        <f t="shared" si="3"/>
        <v>NO</v>
      </c>
      <c r="F60" s="4" t="str">
        <f t="shared" si="4"/>
        <v/>
      </c>
      <c r="G60" s="11" t="str">
        <f t="array" ref="G60">XLOOKUP($C60,main!N$2:N$673,main!$B$2:$B$673,"")</f>
        <v/>
      </c>
      <c r="H60" s="11" t="str">
        <f t="array" ref="H60">XLOOKUP($C60,main!O$2:O$673,main!$B$2:$B$673,"")</f>
        <v/>
      </c>
      <c r="I60" s="11" t="str">
        <f t="array" ref="I60">XLOOKUP($C60,main!P$2:P$673,main!$B$2:$B$673,"")</f>
        <v/>
      </c>
      <c r="J60" s="11" t="str">
        <f t="array" ref="J60">XLOOKUP($C60,main!Q$2:Q$673,main!$B$2:$B$673,"")</f>
        <v/>
      </c>
      <c r="K60" s="16"/>
      <c r="L60" s="11"/>
    </row>
    <row r="61">
      <c r="A61" s="13" t="s">
        <v>21</v>
      </c>
      <c r="B61" s="13" t="s">
        <v>23</v>
      </c>
      <c r="C61" s="13" t="s">
        <v>355</v>
      </c>
      <c r="D61" s="14" t="s">
        <v>356</v>
      </c>
      <c r="E61" s="11" t="str">
        <f t="shared" si="3"/>
        <v>NO</v>
      </c>
      <c r="F61" s="4" t="str">
        <f t="shared" si="4"/>
        <v/>
      </c>
      <c r="G61" s="11" t="str">
        <f t="array" ref="G61">XLOOKUP($C61,main!N$2:N$673,main!$B$2:$B$673,"")</f>
        <v/>
      </c>
      <c r="H61" s="11" t="str">
        <f t="array" ref="H61">XLOOKUP($C61,main!O$2:O$673,main!$B$2:$B$673,"")</f>
        <v/>
      </c>
      <c r="I61" s="11" t="str">
        <f t="array" ref="I61">XLOOKUP($C61,main!P$2:P$673,main!$B$2:$B$673,"")</f>
        <v/>
      </c>
      <c r="J61" s="11" t="str">
        <f t="array" ref="J61">XLOOKUP($C61,main!Q$2:Q$673,main!$B$2:$B$673,"")</f>
        <v/>
      </c>
      <c r="K61" s="16"/>
      <c r="L61" s="11"/>
    </row>
    <row r="62">
      <c r="A62" s="13" t="s">
        <v>21</v>
      </c>
      <c r="B62" s="13" t="s">
        <v>23</v>
      </c>
      <c r="C62" s="13" t="s">
        <v>102</v>
      </c>
      <c r="D62" s="14" t="s">
        <v>357</v>
      </c>
      <c r="E62" s="11" t="str">
        <f t="shared" si="3"/>
        <v>YES</v>
      </c>
      <c r="F62" s="4" t="str">
        <f t="shared" si="4"/>
        <v>13 Jan</v>
      </c>
      <c r="G62" s="11" t="str">
        <f t="array" ref="G62">XLOOKUP($C62,main!N$2:N$673,main!$B$2:$B$673,"")</f>
        <v/>
      </c>
      <c r="H62" s="11" t="str">
        <f t="array" ref="H62">XLOOKUP($C62,main!O$2:O$673,main!$B$2:$B$673,"")</f>
        <v/>
      </c>
      <c r="I62" s="11" t="str">
        <f t="array" ref="I62">XLOOKUP($C62,main!P$2:P$673,main!$B$2:$B$673,"")</f>
        <v/>
      </c>
      <c r="J62" s="15">
        <f t="array" ref="J62">XLOOKUP($C62,main!Q$2:Q$673,main!$B$2:$B$673,"")</f>
        <v>46035</v>
      </c>
      <c r="K62" s="16"/>
      <c r="L62" s="11"/>
    </row>
    <row r="63">
      <c r="A63" s="13" t="s">
        <v>21</v>
      </c>
      <c r="B63" s="14" t="s">
        <v>105</v>
      </c>
      <c r="C63" s="14" t="s">
        <v>136</v>
      </c>
      <c r="D63" s="14" t="s">
        <v>358</v>
      </c>
      <c r="E63" s="11" t="str">
        <f t="shared" si="3"/>
        <v>YES</v>
      </c>
      <c r="F63" s="4" t="str">
        <f t="shared" si="4"/>
        <v>21 Jan</v>
      </c>
      <c r="G63" s="15">
        <f t="array" ref="G63">XLOOKUP($C63,main!N$2:N$673,main!$B$2:$B$673,"")</f>
        <v>46043</v>
      </c>
      <c r="H63" s="11" t="str">
        <f t="array" ref="H63">XLOOKUP($C63,main!O$2:O$673,main!$B$2:$B$673,"")</f>
        <v/>
      </c>
      <c r="I63" s="11" t="str">
        <f t="array" ref="I63">XLOOKUP($C63,main!P$2:P$673,main!$B$2:$B$673,"")</f>
        <v/>
      </c>
      <c r="J63" s="11" t="str">
        <f t="array" ref="J63">XLOOKUP($C63,main!Q$2:Q$673,main!$B$2:$B$673,"")</f>
        <v/>
      </c>
      <c r="K63" s="11"/>
      <c r="L63" s="11"/>
    </row>
    <row r="64">
      <c r="A64" s="13" t="s">
        <v>21</v>
      </c>
      <c r="B64" s="14" t="s">
        <v>105</v>
      </c>
      <c r="C64" s="14" t="s">
        <v>28</v>
      </c>
      <c r="D64" s="14" t="s">
        <v>359</v>
      </c>
      <c r="E64" s="11" t="str">
        <f t="shared" si="3"/>
        <v>YES</v>
      </c>
      <c r="F64" s="4" t="str">
        <f t="shared" si="4"/>
        <v>05 Jan</v>
      </c>
      <c r="G64" s="15">
        <f t="array" ref="G64">XLOOKUP($C64,main!N$2:N$673,main!$B$2:$B$673,"")</f>
        <v>46027</v>
      </c>
      <c r="H64" s="11" t="str">
        <f t="array" ref="H64">XLOOKUP($C64,main!O$2:O$673,main!$B$2:$B$673,"")</f>
        <v/>
      </c>
      <c r="I64" s="11" t="str">
        <f t="array" ref="I64">XLOOKUP($C64,main!P$2:P$673,main!$B$2:$B$673,"")</f>
        <v/>
      </c>
      <c r="J64" s="11" t="str">
        <f t="array" ref="J64">XLOOKUP($C64,main!Q$2:Q$673,main!$B$2:$B$673,"")</f>
        <v/>
      </c>
      <c r="K64" s="11"/>
      <c r="L64" s="11"/>
    </row>
    <row r="65">
      <c r="A65" s="13" t="s">
        <v>21</v>
      </c>
      <c r="B65" s="14" t="s">
        <v>105</v>
      </c>
      <c r="C65" s="14" t="s">
        <v>101</v>
      </c>
      <c r="D65" s="14" t="s">
        <v>360</v>
      </c>
      <c r="E65" s="11" t="str">
        <f t="shared" si="3"/>
        <v>YES</v>
      </c>
      <c r="F65" s="4" t="str">
        <f t="shared" si="4"/>
        <v>13 Jan
26 Feb
14 Jan</v>
      </c>
      <c r="G65" s="15">
        <f t="array" ref="G65">XLOOKUP($C65,main!N$2:N$673,main!$B$2:$B$673,"")</f>
        <v>46035</v>
      </c>
      <c r="H65" s="15">
        <f t="array" ref="H65">XLOOKUP($C65,main!O$2:O$673,main!$B$2:$B$673,"")</f>
        <v>46079</v>
      </c>
      <c r="I65" s="15">
        <f t="array" ref="I65">XLOOKUP($C65,main!P$2:P$673,main!$B$2:$B$673,"")</f>
        <v>46036</v>
      </c>
      <c r="J65" s="11" t="str">
        <f t="array" ref="J65">XLOOKUP($C65,main!Q$2:Q$673,main!$B$2:$B$673,"")</f>
        <v/>
      </c>
      <c r="K65" s="11"/>
      <c r="L65" s="11"/>
    </row>
    <row r="66">
      <c r="A66" s="13" t="s">
        <v>21</v>
      </c>
      <c r="B66" s="14" t="s">
        <v>105</v>
      </c>
      <c r="C66" s="14" t="s">
        <v>361</v>
      </c>
      <c r="D66" s="14" t="s">
        <v>362</v>
      </c>
      <c r="E66" s="11" t="str">
        <f t="shared" si="3"/>
        <v>NO</v>
      </c>
      <c r="F66" s="4" t="str">
        <f t="shared" si="4"/>
        <v/>
      </c>
      <c r="G66" s="11" t="str">
        <f t="array" ref="G66">XLOOKUP($C66,main!N$2:N$673,main!$B$2:$B$673,"")</f>
        <v/>
      </c>
      <c r="H66" s="11" t="str">
        <f t="array" ref="H66">XLOOKUP($C66,main!O$2:O$673,main!$B$2:$B$673,"")</f>
        <v/>
      </c>
      <c r="I66" s="11" t="str">
        <f t="array" ref="I66">XLOOKUP($C66,main!P$2:P$673,main!$B$2:$B$673,"")</f>
        <v/>
      </c>
      <c r="J66" s="11" t="str">
        <f t="array" ref="J66">XLOOKUP($C66,main!Q$2:Q$673,main!$B$2:$B$673,"")</f>
        <v/>
      </c>
      <c r="K66" s="11"/>
      <c r="L66" s="11"/>
    </row>
    <row r="67">
      <c r="A67" s="13" t="s">
        <v>21</v>
      </c>
      <c r="B67" s="14" t="s">
        <v>105</v>
      </c>
      <c r="C67" s="14" t="s">
        <v>136</v>
      </c>
      <c r="D67" s="14" t="s">
        <v>363</v>
      </c>
      <c r="E67" s="11" t="str">
        <f t="shared" si="3"/>
        <v>YES</v>
      </c>
      <c r="F67" s="4" t="str">
        <f t="shared" si="4"/>
        <v>21 Jan</v>
      </c>
      <c r="G67" s="15">
        <f t="array" ref="G67">XLOOKUP($C67,main!N$2:N$673,main!$B$2:$B$673,"")</f>
        <v>46043</v>
      </c>
      <c r="H67" s="11" t="str">
        <f t="array" ref="H67">XLOOKUP($C67,main!O$2:O$673,main!$B$2:$B$673,"")</f>
        <v/>
      </c>
      <c r="I67" s="11" t="str">
        <f t="array" ref="I67">XLOOKUP($C67,main!P$2:P$673,main!$B$2:$B$673,"")</f>
        <v/>
      </c>
      <c r="J67" s="11" t="str">
        <f t="array" ref="J67">XLOOKUP($C67,main!Q$2:Q$673,main!$B$2:$B$673,"")</f>
        <v/>
      </c>
      <c r="K67" s="11"/>
      <c r="L67" s="11"/>
    </row>
    <row r="68">
      <c r="A68" s="13" t="s">
        <v>284</v>
      </c>
      <c r="B68" s="14" t="s">
        <v>364</v>
      </c>
      <c r="C68" s="14" t="s">
        <v>64</v>
      </c>
      <c r="D68" s="14" t="s">
        <v>365</v>
      </c>
      <c r="E68" s="11" t="str">
        <f t="shared" si="3"/>
        <v>YES</v>
      </c>
      <c r="F68" s="4" t="str">
        <f t="shared" si="4"/>
        <v>27 Jan
28 Jan
08 Jan</v>
      </c>
      <c r="G68" s="15">
        <f t="array" ref="G68">XLOOKUP($C68,main!N$2:N$673,main!$B$2:$B$673,"")</f>
        <v>46049</v>
      </c>
      <c r="H68" s="15">
        <f t="array" ref="H68">XLOOKUP($C68,main!O$2:O$673,main!$B$2:$B$673,"")</f>
        <v>46050</v>
      </c>
      <c r="I68" s="15">
        <f t="array" ref="I68">XLOOKUP($C68,main!P$2:P$673,main!$B$2:$B$673,"")</f>
        <v>46030</v>
      </c>
      <c r="J68" s="11" t="str">
        <f t="array" ref="J68">XLOOKUP($C68,main!Q$2:Q$673,main!$B$2:$B$673,"")</f>
        <v/>
      </c>
      <c r="K68" s="11"/>
      <c r="L68" s="11"/>
    </row>
    <row r="69">
      <c r="A69" s="13" t="s">
        <v>284</v>
      </c>
      <c r="B69" s="14" t="s">
        <v>364</v>
      </c>
      <c r="C69" s="14" t="s">
        <v>136</v>
      </c>
      <c r="D69" s="14" t="s">
        <v>366</v>
      </c>
      <c r="E69" s="11" t="str">
        <f t="shared" si="3"/>
        <v>YES</v>
      </c>
      <c r="F69" s="4" t="str">
        <f t="shared" si="4"/>
        <v>21 Jan</v>
      </c>
      <c r="G69" s="15">
        <f t="array" ref="G69">XLOOKUP($C69,main!N$2:N$673,main!$B$2:$B$673,"")</f>
        <v>46043</v>
      </c>
      <c r="H69" s="11" t="str">
        <f t="array" ref="H69">XLOOKUP($C69,main!O$2:O$673,main!$B$2:$B$673,"")</f>
        <v/>
      </c>
      <c r="I69" s="11" t="str">
        <f t="array" ref="I69">XLOOKUP($C69,main!P$2:P$673,main!$B$2:$B$673,"")</f>
        <v/>
      </c>
      <c r="J69" s="11" t="str">
        <f t="array" ref="J69">XLOOKUP($C69,main!Q$2:Q$673,main!$B$2:$B$673,"")</f>
        <v/>
      </c>
      <c r="K69" s="11"/>
      <c r="L69" s="11"/>
    </row>
    <row r="70">
      <c r="A70" s="13" t="s">
        <v>284</v>
      </c>
      <c r="B70" s="14" t="s">
        <v>364</v>
      </c>
      <c r="C70" s="14" t="s">
        <v>367</v>
      </c>
      <c r="D70" s="14" t="s">
        <v>368</v>
      </c>
      <c r="E70" s="11" t="str">
        <f t="shared" si="3"/>
        <v>NO</v>
      </c>
      <c r="F70" s="4" t="str">
        <f t="shared" si="4"/>
        <v/>
      </c>
      <c r="G70" s="11" t="str">
        <f t="array" ref="G70">XLOOKUP($C70,main!N$2:N$673,main!$B$2:$B$673,"")</f>
        <v/>
      </c>
      <c r="H70" s="11" t="str">
        <f t="array" ref="H70">XLOOKUP($C70,main!O$2:O$673,main!$B$2:$B$673,"")</f>
        <v/>
      </c>
      <c r="I70" s="11" t="str">
        <f t="array" ref="I70">XLOOKUP($C70,main!P$2:P$673,main!$B$2:$B$673,"")</f>
        <v/>
      </c>
      <c r="J70" s="11" t="str">
        <f t="array" ref="J70">XLOOKUP($C70,main!Q$2:Q$673,main!$B$2:$B$673,"")</f>
        <v/>
      </c>
      <c r="K70" s="11"/>
      <c r="L70" s="11"/>
    </row>
    <row r="71">
      <c r="A71" s="13" t="s">
        <v>117</v>
      </c>
      <c r="B71" s="18" t="s">
        <v>369</v>
      </c>
      <c r="C71" s="14" t="s">
        <v>370</v>
      </c>
      <c r="D71" s="14" t="s">
        <v>371</v>
      </c>
      <c r="E71" s="11" t="str">
        <f t="shared" si="3"/>
        <v>NO</v>
      </c>
      <c r="F71" s="4" t="str">
        <f t="shared" si="4"/>
        <v/>
      </c>
      <c r="G71" s="11" t="str">
        <f t="array" ref="G71">XLOOKUP($C71,main!N$2:N$673,main!$B$2:$B$673,"")</f>
        <v/>
      </c>
      <c r="H71" s="11" t="str">
        <f t="array" ref="H71">XLOOKUP($C71,main!O$2:O$673,main!$B$2:$B$673,"")</f>
        <v/>
      </c>
      <c r="I71" s="11" t="str">
        <f t="array" ref="I71">XLOOKUP($C71,main!P$2:P$673,main!$B$2:$B$673,"")</f>
        <v/>
      </c>
      <c r="J71" s="11" t="str">
        <f t="array" ref="J71">XLOOKUP($C71,main!Q$2:Q$673,main!$B$2:$B$673,"")</f>
        <v/>
      </c>
      <c r="K71" s="11"/>
      <c r="L71" s="11"/>
    </row>
    <row r="72">
      <c r="A72" s="13" t="s">
        <v>117</v>
      </c>
      <c r="B72" s="14" t="s">
        <v>372</v>
      </c>
      <c r="C72" s="14" t="s">
        <v>249</v>
      </c>
      <c r="D72" s="14" t="s">
        <v>373</v>
      </c>
      <c r="E72" s="11" t="str">
        <f t="shared" si="3"/>
        <v>YES</v>
      </c>
      <c r="F72" s="4" t="str">
        <f t="shared" si="4"/>
        <v>11 Mar</v>
      </c>
      <c r="G72" s="15">
        <f t="array" ref="G72">XLOOKUP($C72,main!N$2:N$673,main!$B$2:$B$673,"")</f>
        <v>46092</v>
      </c>
      <c r="H72" s="11" t="str">
        <f t="array" ref="H72">XLOOKUP($C72,main!O$2:O$673,main!$B$2:$B$673,"")</f>
        <v/>
      </c>
      <c r="I72" s="11" t="str">
        <f t="array" ref="I72">XLOOKUP($C72,main!P$2:P$673,main!$B$2:$B$673,"")</f>
        <v/>
      </c>
      <c r="J72" s="11" t="str">
        <f t="array" ref="J72">XLOOKUP($C72,main!Q$2:Q$673,main!$B$2:$B$673,"")</f>
        <v/>
      </c>
      <c r="K72" s="11"/>
      <c r="L72" s="11"/>
    </row>
    <row r="73">
      <c r="A73" s="13" t="s">
        <v>117</v>
      </c>
      <c r="B73" s="14" t="s">
        <v>372</v>
      </c>
      <c r="C73" s="14" t="s">
        <v>97</v>
      </c>
      <c r="D73" s="14" t="s">
        <v>374</v>
      </c>
      <c r="E73" s="11" t="str">
        <f t="shared" si="3"/>
        <v>YES</v>
      </c>
      <c r="F73" s="4" t="str">
        <f t="shared" si="4"/>
        <v>12 Jan
15 Jan
18 Feb</v>
      </c>
      <c r="G73" s="11" t="str">
        <f t="array" ref="G73">XLOOKUP($C73,main!N$2:N$673,main!$B$2:$B$673,"")</f>
        <v/>
      </c>
      <c r="H73" s="15">
        <f t="array" ref="H73">XLOOKUP($C73,main!O$2:O$673,main!$B$2:$B$673,"")</f>
        <v>46034</v>
      </c>
      <c r="I73" s="15">
        <f t="array" ref="I73">XLOOKUP($C73,main!P$2:P$673,main!$B$2:$B$673,"")</f>
        <v>46037</v>
      </c>
      <c r="J73" s="15">
        <f t="array" ref="J73">XLOOKUP($C73,main!Q$2:Q$673,main!$B$2:$B$673,"")</f>
        <v>46071</v>
      </c>
      <c r="K73" s="11"/>
      <c r="L73" s="11"/>
    </row>
    <row r="74">
      <c r="A74" s="13" t="s">
        <v>117</v>
      </c>
      <c r="B74" s="14" t="s">
        <v>372</v>
      </c>
      <c r="C74" s="14" t="s">
        <v>370</v>
      </c>
      <c r="D74" s="14" t="s">
        <v>375</v>
      </c>
      <c r="E74" s="11" t="str">
        <f t="shared" si="3"/>
        <v>NO</v>
      </c>
      <c r="F74" s="4" t="str">
        <f t="shared" si="4"/>
        <v/>
      </c>
      <c r="G74" s="11" t="str">
        <f t="array" ref="G74">XLOOKUP($C74,main!N$2:N$673,main!$B$2:$B$673,"")</f>
        <v/>
      </c>
      <c r="H74" s="11" t="str">
        <f t="array" ref="H74">XLOOKUP($C74,main!O$2:O$673,main!$B$2:$B$673,"")</f>
        <v/>
      </c>
      <c r="I74" s="11" t="str">
        <f t="array" ref="I74">XLOOKUP($C74,main!P$2:P$673,main!$B$2:$B$673,"")</f>
        <v/>
      </c>
      <c r="J74" s="11" t="str">
        <f t="array" ref="J74">XLOOKUP($C74,main!Q$2:Q$673,main!$B$2:$B$673,"")</f>
        <v/>
      </c>
      <c r="K74" s="11"/>
      <c r="L74" s="11"/>
    </row>
    <row r="75">
      <c r="A75" s="13" t="s">
        <v>284</v>
      </c>
      <c r="B75" s="14" t="s">
        <v>285</v>
      </c>
      <c r="C75" s="14" t="s">
        <v>99</v>
      </c>
      <c r="D75" s="14" t="s">
        <v>376</v>
      </c>
      <c r="E75" s="11" t="str">
        <f t="shared" si="3"/>
        <v>YES</v>
      </c>
      <c r="F75" s="4" t="str">
        <f t="shared" si="4"/>
        <v>13 Jan
15 Jan</v>
      </c>
      <c r="G75" s="15">
        <f t="array" ref="G75">XLOOKUP($C75,main!N$2:N$673,main!$B$2:$B$673,"")</f>
        <v>46035</v>
      </c>
      <c r="H75" s="15">
        <f t="array" ref="H75">XLOOKUP($C75,main!O$2:O$673,main!$B$2:$B$673,"")</f>
        <v>46037</v>
      </c>
      <c r="I75" s="11" t="str">
        <f t="array" ref="I75">XLOOKUP($C75,main!P$2:P$673,main!$B$2:$B$673,"")</f>
        <v/>
      </c>
      <c r="J75" s="11" t="str">
        <f t="array" ref="J75">XLOOKUP($C75,main!Q$2:Q$673,main!$B$2:$B$673,"")</f>
        <v/>
      </c>
      <c r="K75" s="11"/>
      <c r="L75" s="11"/>
    </row>
    <row r="76">
      <c r="A76" s="13" t="s">
        <v>284</v>
      </c>
      <c r="B76" s="13" t="s">
        <v>285</v>
      </c>
      <c r="C76" s="13" t="s">
        <v>99</v>
      </c>
      <c r="D76" s="14" t="s">
        <v>99</v>
      </c>
      <c r="E76" s="11" t="str">
        <f t="shared" si="3"/>
        <v>YES</v>
      </c>
      <c r="F76" s="4" t="str">
        <f t="shared" si="4"/>
        <v>13 Jan
15 Jan</v>
      </c>
      <c r="G76" s="15">
        <f t="array" ref="G76">XLOOKUP($C76,main!N$2:N$673,main!$B$2:$B$673,"")</f>
        <v>46035</v>
      </c>
      <c r="H76" s="15">
        <f t="array" ref="H76">XLOOKUP($C76,main!O$2:O$673,main!$B$2:$B$673,"")</f>
        <v>46037</v>
      </c>
      <c r="I76" s="11" t="str">
        <f t="array" ref="I76">XLOOKUP($C76,main!P$2:P$673,main!$B$2:$B$673,"")</f>
        <v/>
      </c>
      <c r="J76" s="11" t="str">
        <f t="array" ref="J76">XLOOKUP($C76,main!Q$2:Q$673,main!$B$2:$B$673,"")</f>
        <v/>
      </c>
      <c r="K76" s="16"/>
      <c r="L76" s="11"/>
    </row>
    <row r="77">
      <c r="A77" s="13" t="s">
        <v>284</v>
      </c>
      <c r="B77" s="14" t="s">
        <v>252</v>
      </c>
      <c r="C77" s="14" t="s">
        <v>377</v>
      </c>
      <c r="D77" s="14" t="s">
        <v>378</v>
      </c>
      <c r="E77" s="11" t="str">
        <f t="shared" si="3"/>
        <v>NO</v>
      </c>
      <c r="F77" s="4" t="str">
        <f t="shared" si="4"/>
        <v/>
      </c>
      <c r="G77" s="11" t="str">
        <f t="array" ref="G77">XLOOKUP($C77,main!N$2:N$673,main!$B$2:$B$673,"")</f>
        <v/>
      </c>
      <c r="H77" s="11" t="str">
        <f t="array" ref="H77">XLOOKUP($C77,main!O$2:O$673,main!$B$2:$B$673,"")</f>
        <v/>
      </c>
      <c r="I77" s="11" t="str">
        <f t="array" ref="I77">XLOOKUP($C77,main!P$2:P$673,main!$B$2:$B$673,"")</f>
        <v/>
      </c>
      <c r="J77" s="11" t="str">
        <f t="array" ref="J77">XLOOKUP($C77,main!Q$2:Q$673,main!$B$2:$B$673,"")</f>
        <v/>
      </c>
      <c r="K77" s="11"/>
      <c r="L77" s="11"/>
    </row>
    <row r="78">
      <c r="A78" s="13" t="s">
        <v>284</v>
      </c>
      <c r="B78" s="14" t="s">
        <v>252</v>
      </c>
      <c r="C78" s="14" t="s">
        <v>67</v>
      </c>
      <c r="D78" s="14" t="s">
        <v>379</v>
      </c>
      <c r="E78" s="11" t="str">
        <f t="shared" si="3"/>
        <v>YES</v>
      </c>
      <c r="F78" s="4" t="str">
        <f t="shared" si="4"/>
        <v>08 Jan
15 Jan</v>
      </c>
      <c r="G78" s="15">
        <f t="array" ref="G78">XLOOKUP($C78,main!N$2:N$673,main!$B$2:$B$673,"")</f>
        <v>46030</v>
      </c>
      <c r="H78" s="15">
        <f t="array" ref="H78">XLOOKUP($C78,main!O$2:O$673,main!$B$2:$B$673,"")</f>
        <v>46037</v>
      </c>
      <c r="I78" s="11" t="str">
        <f t="array" ref="I78">XLOOKUP($C78,main!P$2:P$673,main!$B$2:$B$673,"")</f>
        <v/>
      </c>
      <c r="J78" s="11" t="str">
        <f t="array" ref="J78">XLOOKUP($C78,main!Q$2:Q$673,main!$B$2:$B$673,"")</f>
        <v/>
      </c>
      <c r="K78" s="11"/>
      <c r="L78" s="11"/>
    </row>
    <row r="79">
      <c r="A79" s="13" t="s">
        <v>284</v>
      </c>
      <c r="B79" s="14" t="s">
        <v>285</v>
      </c>
      <c r="C79" s="14" t="s">
        <v>149</v>
      </c>
      <c r="D79" s="14" t="s">
        <v>380</v>
      </c>
      <c r="E79" s="11" t="str">
        <f t="shared" si="3"/>
        <v>YES</v>
      </c>
      <c r="F79" s="4" t="str">
        <f t="shared" si="4"/>
        <v>23 Jan</v>
      </c>
      <c r="G79" s="11" t="str">
        <f t="array" ref="G79">XLOOKUP($C79,main!N$2:N$673,main!$B$2:$B$673,"")</f>
        <v/>
      </c>
      <c r="H79" s="15">
        <f t="array" ref="H79">XLOOKUP($C79,main!O$2:O$673,main!$B$2:$B$673,"")</f>
        <v>46045</v>
      </c>
      <c r="I79" s="11" t="str">
        <f t="array" ref="I79">XLOOKUP($C79,main!P$2:P$673,main!$B$2:$B$673,"")</f>
        <v/>
      </c>
      <c r="J79" s="11" t="str">
        <f t="array" ref="J79">XLOOKUP($C79,main!Q$2:Q$673,main!$B$2:$B$673,"")</f>
        <v/>
      </c>
      <c r="K79" s="11"/>
      <c r="L79" s="11"/>
    </row>
    <row r="80">
      <c r="A80" s="13" t="s">
        <v>381</v>
      </c>
      <c r="B80" s="14" t="s">
        <v>372</v>
      </c>
      <c r="C80" s="14" t="s">
        <v>233</v>
      </c>
      <c r="D80" s="14" t="s">
        <v>382</v>
      </c>
      <c r="E80" s="11" t="str">
        <f t="shared" si="3"/>
        <v>YES</v>
      </c>
      <c r="F80" s="4" t="str">
        <f t="shared" si="4"/>
        <v>26 Feb</v>
      </c>
      <c r="G80" s="15">
        <f t="array" ref="G80">XLOOKUP($C80,main!N$2:N$673,main!$B$2:$B$673,"")</f>
        <v>46079</v>
      </c>
      <c r="H80" s="11" t="str">
        <f t="array" ref="H80">XLOOKUP($C80,main!O$2:O$673,main!$B$2:$B$673,"")</f>
        <v/>
      </c>
      <c r="I80" s="11" t="str">
        <f t="array" ref="I80">XLOOKUP($C80,main!P$2:P$673,main!$B$2:$B$673,"")</f>
        <v/>
      </c>
      <c r="J80" s="11" t="str">
        <f t="array" ref="J80">XLOOKUP($C80,main!Q$2:Q$673,main!$B$2:$B$673,"")</f>
        <v/>
      </c>
      <c r="K80" s="11"/>
      <c r="L80" s="11"/>
    </row>
    <row r="81">
      <c r="A81" s="13" t="s">
        <v>381</v>
      </c>
      <c r="B81" s="14" t="s">
        <v>233</v>
      </c>
      <c r="C81" s="14" t="s">
        <v>233</v>
      </c>
      <c r="D81" s="14" t="s">
        <v>383</v>
      </c>
      <c r="E81" s="11" t="str">
        <f t="shared" si="3"/>
        <v>YES</v>
      </c>
      <c r="F81" s="4" t="str">
        <f t="shared" si="4"/>
        <v>26 Feb</v>
      </c>
      <c r="G81" s="15">
        <f t="array" ref="G81">XLOOKUP($C81,main!N$2:N$673,main!$B$2:$B$673,"")</f>
        <v>46079</v>
      </c>
      <c r="H81" s="11" t="str">
        <f t="array" ref="H81">XLOOKUP($C81,main!O$2:O$673,main!$B$2:$B$673,"")</f>
        <v/>
      </c>
      <c r="I81" s="11" t="str">
        <f t="array" ref="I81">XLOOKUP($C81,main!P$2:P$673,main!$B$2:$B$673,"")</f>
        <v/>
      </c>
      <c r="J81" s="11" t="str">
        <f t="array" ref="J81">XLOOKUP($C81,main!Q$2:Q$673,main!$B$2:$B$673,"")</f>
        <v/>
      </c>
      <c r="K81" s="11"/>
      <c r="L81" s="11"/>
    </row>
    <row r="82">
      <c r="A82" s="13" t="s">
        <v>381</v>
      </c>
      <c r="B82" s="14" t="s">
        <v>233</v>
      </c>
      <c r="C82" s="14" t="s">
        <v>133</v>
      </c>
      <c r="D82" s="14" t="s">
        <v>384</v>
      </c>
      <c r="E82" s="11" t="str">
        <f t="shared" si="3"/>
        <v>YES</v>
      </c>
      <c r="F82" s="4" t="str">
        <f t="shared" si="4"/>
        <v>20 Jan</v>
      </c>
      <c r="G82" s="11" t="str">
        <f t="array" ref="G82">XLOOKUP($C82,main!N$2:N$673,main!$B$2:$B$673,"")</f>
        <v/>
      </c>
      <c r="H82" s="11" t="str">
        <f t="array" ref="H82">XLOOKUP($C82,main!O$2:O$673,main!$B$2:$B$673,"")</f>
        <v/>
      </c>
      <c r="I82" s="15">
        <f t="array" ref="I82">XLOOKUP($C82,main!P$2:P$673,main!$B$2:$B$673,"")</f>
        <v>46042</v>
      </c>
      <c r="J82" s="11" t="str">
        <f t="array" ref="J82">XLOOKUP($C82,main!Q$2:Q$673,main!$B$2:$B$673,"")</f>
        <v/>
      </c>
      <c r="K82" s="11"/>
      <c r="L82" s="11"/>
    </row>
    <row r="83">
      <c r="A83" s="13" t="s">
        <v>381</v>
      </c>
      <c r="B83" s="14" t="s">
        <v>233</v>
      </c>
      <c r="C83" s="14" t="s">
        <v>111</v>
      </c>
      <c r="D83" s="14" t="s">
        <v>385</v>
      </c>
      <c r="E83" s="11" t="str">
        <f t="shared" si="3"/>
        <v>YES</v>
      </c>
      <c r="F83" s="4" t="str">
        <f t="shared" si="4"/>
        <v>15 Jan
26 Feb</v>
      </c>
      <c r="G83" s="15">
        <f t="array" ref="G83">XLOOKUP($C83,main!N$2:N$673,main!$B$2:$B$673,"")</f>
        <v>46037</v>
      </c>
      <c r="H83" s="15">
        <f t="array" ref="H83">XLOOKUP($C83,main!O$2:O$673,main!$B$2:$B$673,"")</f>
        <v>46079</v>
      </c>
      <c r="I83" s="11" t="str">
        <f t="array" ref="I83">XLOOKUP($C83,main!P$2:P$673,main!$B$2:$B$673,"")</f>
        <v/>
      </c>
      <c r="J83" s="11" t="str">
        <f t="array" ref="J83">XLOOKUP($C83,main!Q$2:Q$673,main!$B$2:$B$673,"")</f>
        <v/>
      </c>
      <c r="K83" s="11"/>
      <c r="L83" s="11"/>
    </row>
    <row r="84">
      <c r="A84" s="13" t="s">
        <v>313</v>
      </c>
      <c r="B84" s="14" t="s">
        <v>302</v>
      </c>
      <c r="C84" s="14" t="s">
        <v>111</v>
      </c>
      <c r="D84" s="14" t="s">
        <v>386</v>
      </c>
      <c r="E84" s="11" t="str">
        <f t="shared" si="3"/>
        <v>YES</v>
      </c>
      <c r="F84" s="4" t="str">
        <f t="shared" si="4"/>
        <v>15 Jan
26 Feb</v>
      </c>
      <c r="G84" s="15">
        <f t="array" ref="G84">XLOOKUP($C84,main!N$2:N$673,main!$B$2:$B$673,"")</f>
        <v>46037</v>
      </c>
      <c r="H84" s="15">
        <f t="array" ref="H84">XLOOKUP($C84,main!O$2:O$673,main!$B$2:$B$673,"")</f>
        <v>46079</v>
      </c>
      <c r="I84" s="11" t="str">
        <f t="array" ref="I84">XLOOKUP($C84,main!P$2:P$673,main!$B$2:$B$673,"")</f>
        <v/>
      </c>
      <c r="J84" s="11" t="str">
        <f t="array" ref="J84">XLOOKUP($C84,main!Q$2:Q$673,main!$B$2:$B$673,"")</f>
        <v/>
      </c>
      <c r="K84" s="11"/>
      <c r="L84" s="11"/>
    </row>
    <row r="85">
      <c r="A85" s="13" t="s">
        <v>117</v>
      </c>
      <c r="B85" s="14" t="s">
        <v>387</v>
      </c>
      <c r="C85" s="14" t="s">
        <v>388</v>
      </c>
      <c r="D85" s="14" t="s">
        <v>389</v>
      </c>
      <c r="E85" s="11" t="str">
        <f t="shared" si="3"/>
        <v>NO</v>
      </c>
      <c r="F85" s="4" t="str">
        <f t="shared" si="4"/>
        <v/>
      </c>
      <c r="G85" s="11" t="str">
        <f t="array" ref="G85">XLOOKUP($C85,main!N$2:N$673,main!$B$2:$B$673,"")</f>
        <v/>
      </c>
      <c r="H85" s="11" t="str">
        <f t="array" ref="H85">XLOOKUP($C85,main!O$2:O$673,main!$B$2:$B$673,"")</f>
        <v/>
      </c>
      <c r="I85" s="11" t="str">
        <f t="array" ref="I85">XLOOKUP($C85,main!P$2:P$673,main!$B$2:$B$673,"")</f>
        <v/>
      </c>
      <c r="J85" s="11" t="str">
        <f t="array" ref="J85">XLOOKUP($C85,main!Q$2:Q$673,main!$B$2:$B$673,"")</f>
        <v/>
      </c>
      <c r="K85" s="11"/>
      <c r="L85" s="11"/>
    </row>
    <row r="86">
      <c r="A86" s="13" t="s">
        <v>117</v>
      </c>
      <c r="B86" s="14" t="s">
        <v>387</v>
      </c>
      <c r="C86" s="14" t="s">
        <v>388</v>
      </c>
      <c r="D86" s="14" t="s">
        <v>390</v>
      </c>
      <c r="E86" s="11" t="str">
        <f t="shared" si="3"/>
        <v>NO</v>
      </c>
      <c r="F86" s="4" t="str">
        <f t="shared" si="4"/>
        <v/>
      </c>
      <c r="G86" s="11" t="str">
        <f t="array" ref="G86">XLOOKUP($C86,main!N$2:N$673,main!$B$2:$B$673,"")</f>
        <v/>
      </c>
      <c r="H86" s="11" t="str">
        <f t="array" ref="H86">XLOOKUP($C86,main!O$2:O$673,main!$B$2:$B$673,"")</f>
        <v/>
      </c>
      <c r="I86" s="11" t="str">
        <f t="array" ref="I86">XLOOKUP($C86,main!P$2:P$673,main!$B$2:$B$673,"")</f>
        <v/>
      </c>
      <c r="J86" s="11" t="str">
        <f t="array" ref="J86">XLOOKUP($C86,main!Q$2:Q$673,main!$B$2:$B$673,"")</f>
        <v/>
      </c>
      <c r="K86" s="11"/>
      <c r="L86" s="11"/>
    </row>
    <row r="87">
      <c r="A87" s="13" t="s">
        <v>117</v>
      </c>
      <c r="B87" s="14" t="s">
        <v>387</v>
      </c>
      <c r="C87" s="14" t="s">
        <v>388</v>
      </c>
      <c r="D87" s="14" t="s">
        <v>391</v>
      </c>
      <c r="E87" s="11" t="str">
        <f t="shared" si="3"/>
        <v>NO</v>
      </c>
      <c r="F87" s="4" t="str">
        <f t="shared" si="4"/>
        <v/>
      </c>
      <c r="G87" s="11" t="str">
        <f t="array" ref="G87">XLOOKUP($C87,main!N$2:N$673,main!$B$2:$B$673,"")</f>
        <v/>
      </c>
      <c r="H87" s="11" t="str">
        <f t="array" ref="H87">XLOOKUP($C87,main!O$2:O$673,main!$B$2:$B$673,"")</f>
        <v/>
      </c>
      <c r="I87" s="11" t="str">
        <f t="array" ref="I87">XLOOKUP($C87,main!P$2:P$673,main!$B$2:$B$673,"")</f>
        <v/>
      </c>
      <c r="J87" s="11" t="str">
        <f t="array" ref="J87">XLOOKUP($C87,main!Q$2:Q$673,main!$B$2:$B$673,"")</f>
        <v/>
      </c>
      <c r="K87" s="11"/>
      <c r="L87" s="11"/>
    </row>
    <row r="88">
      <c r="A88" s="13" t="s">
        <v>117</v>
      </c>
      <c r="B88" s="14" t="s">
        <v>372</v>
      </c>
      <c r="C88" s="14"/>
      <c r="D88" s="14"/>
      <c r="E88" s="11" t="str">
        <f t="shared" si="3"/>
        <v>NO</v>
      </c>
      <c r="F88" s="4" t="str">
        <f t="shared" si="4"/>
        <v/>
      </c>
      <c r="G88" s="11" t="str">
        <f t="array" ref="G88">XLOOKUP($C88,main!N$2:N$673,main!$B$2:$B$673,"")</f>
        <v/>
      </c>
      <c r="H88" s="11" t="str">
        <f t="array" ref="H88">XLOOKUP($C88,main!O$2:O$673,main!$B$2:$B$673,"")</f>
        <v/>
      </c>
      <c r="I88" s="11" t="str">
        <f t="array" ref="I88">XLOOKUP($C88,main!P$2:P$673,main!$B$2:$B$673,"")</f>
        <v/>
      </c>
      <c r="J88" s="11" t="str">
        <f t="array" ref="J88">XLOOKUP($C88,main!Q$2:Q$673,main!$B$2:$B$673,"")</f>
        <v/>
      </c>
      <c r="K88" s="11"/>
      <c r="L88" s="11"/>
    </row>
    <row r="89">
      <c r="A89" s="13" t="s">
        <v>21</v>
      </c>
      <c r="B89" s="14" t="s">
        <v>392</v>
      </c>
      <c r="C89" s="14" t="s">
        <v>118</v>
      </c>
      <c r="D89" s="14" t="s">
        <v>393</v>
      </c>
      <c r="E89" s="11" t="str">
        <f t="shared" si="3"/>
        <v>YES</v>
      </c>
      <c r="F89" s="4" t="str">
        <f t="shared" si="4"/>
        <v>16 Jan
17 Jan
24 Feb</v>
      </c>
      <c r="G89" s="11" t="str">
        <f t="array" ref="G89">XLOOKUP($C89,main!N$2:N$673,main!$B$2:$B$673,"")</f>
        <v/>
      </c>
      <c r="H89" s="15">
        <f t="array" ref="H89">XLOOKUP($C89,main!O$2:O$673,main!$B$2:$B$673,"")</f>
        <v>46038</v>
      </c>
      <c r="I89" s="15">
        <f t="array" ref="I89">XLOOKUP($C89,main!P$2:P$673,main!$B$2:$B$673,"")</f>
        <v>46039</v>
      </c>
      <c r="J89" s="15">
        <f t="array" ref="J89">XLOOKUP($C89,main!Q$2:Q$673,main!$B$2:$B$673,"")</f>
        <v>46077</v>
      </c>
      <c r="K89" s="11"/>
      <c r="L89" s="11"/>
    </row>
    <row r="90">
      <c r="A90" s="13" t="s">
        <v>21</v>
      </c>
      <c r="B90" s="14" t="s">
        <v>392</v>
      </c>
      <c r="C90" s="14" t="s">
        <v>107</v>
      </c>
      <c r="D90" s="14" t="s">
        <v>394</v>
      </c>
      <c r="E90" s="11" t="str">
        <f t="shared" si="3"/>
        <v>YES</v>
      </c>
      <c r="F90" s="4" t="str">
        <f t="shared" si="4"/>
        <v>14 Jan
24 Feb
26 Feb</v>
      </c>
      <c r="G90" s="15">
        <f t="array" ref="G90">XLOOKUP($C90,main!N$2:N$673,main!$B$2:$B$673,"")</f>
        <v>46036</v>
      </c>
      <c r="H90" s="15">
        <f t="array" ref="H90">XLOOKUP($C90,main!O$2:O$673,main!$B$2:$B$673,"")</f>
        <v>46077</v>
      </c>
      <c r="I90" s="15">
        <f t="array" ref="I90">XLOOKUP($C90,main!P$2:P$673,main!$B$2:$B$673,"")</f>
        <v>46079</v>
      </c>
      <c r="J90" s="11" t="str">
        <f t="array" ref="J90">XLOOKUP($C90,main!Q$2:Q$673,main!$B$2:$B$673,"")</f>
        <v/>
      </c>
      <c r="K90" s="11"/>
      <c r="L90" s="11"/>
    </row>
    <row r="91">
      <c r="A91" s="13" t="s">
        <v>21</v>
      </c>
      <c r="B91" s="14" t="s">
        <v>392</v>
      </c>
      <c r="C91" s="14" t="s">
        <v>239</v>
      </c>
      <c r="D91" s="14" t="s">
        <v>395</v>
      </c>
      <c r="E91" s="11" t="str">
        <f t="shared" si="3"/>
        <v>NO</v>
      </c>
      <c r="F91" s="4" t="str">
        <f t="shared" si="4"/>
        <v/>
      </c>
      <c r="G91" s="11" t="str">
        <f t="array" ref="G91">XLOOKUP($C91,main!N$2:N$673,main!$B$2:$B$673,"")</f>
        <v/>
      </c>
      <c r="H91" s="11" t="str">
        <f t="array" ref="H91">XLOOKUP($C91,main!O$2:O$673,main!$B$2:$B$673,"")</f>
        <v/>
      </c>
      <c r="I91" s="11" t="str">
        <f t="array" ref="I91">XLOOKUP($C91,main!P$2:P$673,main!$B$2:$B$673,"")</f>
        <v/>
      </c>
      <c r="J91" s="11" t="str">
        <f t="array" ref="J91">XLOOKUP($C91,main!Q$2:Q$673,main!$B$2:$B$673,"")</f>
        <v/>
      </c>
      <c r="K91" s="11"/>
      <c r="L91" s="11"/>
    </row>
    <row r="92">
      <c r="A92" s="13" t="s">
        <v>21</v>
      </c>
      <c r="B92" s="14" t="s">
        <v>209</v>
      </c>
      <c r="C92" s="14" t="s">
        <v>209</v>
      </c>
      <c r="D92" s="14" t="s">
        <v>396</v>
      </c>
      <c r="E92" s="11" t="str">
        <f t="shared" si="3"/>
        <v>YES</v>
      </c>
      <c r="F92" s="4" t="str">
        <f t="shared" si="4"/>
        <v>18 Feb</v>
      </c>
      <c r="G92" s="11" t="str">
        <f t="array" ref="G92">XLOOKUP($C92,main!N$2:N$673,main!$B$2:$B$673,"")</f>
        <v/>
      </c>
      <c r="H92" s="15">
        <f t="array" ref="H92">XLOOKUP($C92,main!O$2:O$673,main!$B$2:$B$673,"")</f>
        <v>46071</v>
      </c>
      <c r="I92" s="11" t="str">
        <f t="array" ref="I92">XLOOKUP($C92,main!P$2:P$673,main!$B$2:$B$673,"")</f>
        <v/>
      </c>
      <c r="J92" s="11" t="str">
        <f t="array" ref="J92">XLOOKUP($C92,main!Q$2:Q$673,main!$B$2:$B$673,"")</f>
        <v/>
      </c>
      <c r="K92" s="11"/>
      <c r="L92" s="11"/>
    </row>
    <row r="93">
      <c r="A93" s="13" t="s">
        <v>21</v>
      </c>
      <c r="B93" s="14" t="s">
        <v>209</v>
      </c>
      <c r="C93" s="14" t="s">
        <v>209</v>
      </c>
      <c r="D93" s="14" t="s">
        <v>397</v>
      </c>
      <c r="E93" s="11" t="str">
        <f t="shared" si="3"/>
        <v>YES</v>
      </c>
      <c r="F93" s="4" t="str">
        <f t="shared" si="4"/>
        <v>18 Feb</v>
      </c>
      <c r="G93" s="11" t="str">
        <f t="array" ref="G93">XLOOKUP($C93,main!N$2:N$673,main!$B$2:$B$673,"")</f>
        <v/>
      </c>
      <c r="H93" s="15">
        <f t="array" ref="H93">XLOOKUP($C93,main!O$2:O$673,main!$B$2:$B$673,"")</f>
        <v>46071</v>
      </c>
      <c r="I93" s="11" t="str">
        <f t="array" ref="I93">XLOOKUP($C93,main!P$2:P$673,main!$B$2:$B$673,"")</f>
        <v/>
      </c>
      <c r="J93" s="11" t="str">
        <f t="array" ref="J93">XLOOKUP($C93,main!Q$2:Q$673,main!$B$2:$B$673,"")</f>
        <v/>
      </c>
      <c r="K93" s="11"/>
      <c r="L93" s="11"/>
    </row>
    <row r="94">
      <c r="A94" s="13" t="s">
        <v>21</v>
      </c>
      <c r="B94" s="14" t="s">
        <v>209</v>
      </c>
      <c r="C94" s="14" t="s">
        <v>209</v>
      </c>
      <c r="D94" s="14" t="s">
        <v>398</v>
      </c>
      <c r="E94" s="11" t="str">
        <f t="shared" si="3"/>
        <v>YES</v>
      </c>
      <c r="F94" s="4" t="str">
        <f t="shared" si="4"/>
        <v>18 Feb</v>
      </c>
      <c r="G94" s="11" t="str">
        <f t="array" ref="G94">XLOOKUP($C94,main!N$2:N$673,main!$B$2:$B$673,"")</f>
        <v/>
      </c>
      <c r="H94" s="15">
        <f t="array" ref="H94">XLOOKUP($C94,main!O$2:O$673,main!$B$2:$B$673,"")</f>
        <v>46071</v>
      </c>
      <c r="I94" s="11" t="str">
        <f t="array" ref="I94">XLOOKUP($C94,main!P$2:P$673,main!$B$2:$B$673,"")</f>
        <v/>
      </c>
      <c r="J94" s="11" t="str">
        <f t="array" ref="J94">XLOOKUP($C94,main!Q$2:Q$673,main!$B$2:$B$673,"")</f>
        <v/>
      </c>
      <c r="K94" s="11"/>
      <c r="L94" s="11"/>
    </row>
    <row r="95">
      <c r="A95" s="13" t="s">
        <v>21</v>
      </c>
      <c r="B95" s="14" t="s">
        <v>399</v>
      </c>
      <c r="C95" s="14" t="s">
        <v>400</v>
      </c>
      <c r="D95" s="14" t="s">
        <v>401</v>
      </c>
      <c r="E95" s="11" t="str">
        <f t="shared" si="3"/>
        <v>NO</v>
      </c>
      <c r="F95" s="4" t="str">
        <f t="shared" si="4"/>
        <v/>
      </c>
      <c r="G95" s="11" t="str">
        <f t="array" ref="G95">XLOOKUP($C95,main!N$2:N$673,main!$B$2:$B$673,"")</f>
        <v/>
      </c>
      <c r="H95" s="11" t="str">
        <f t="array" ref="H95">XLOOKUP($C95,main!O$2:O$673,main!$B$2:$B$673,"")</f>
        <v/>
      </c>
      <c r="I95" s="11" t="str">
        <f t="array" ref="I95">XLOOKUP($C95,main!P$2:P$673,main!$B$2:$B$673,"")</f>
        <v/>
      </c>
      <c r="J95" s="11" t="str">
        <f t="array" ref="J95">XLOOKUP($C95,main!Q$2:Q$673,main!$B$2:$B$673,"")</f>
        <v/>
      </c>
      <c r="K95" s="11"/>
      <c r="L95" s="11"/>
    </row>
    <row r="96">
      <c r="A96" s="13" t="s">
        <v>21</v>
      </c>
      <c r="B96" s="14" t="s">
        <v>399</v>
      </c>
      <c r="C96" s="14" t="s">
        <v>400</v>
      </c>
      <c r="D96" s="14" t="s">
        <v>402</v>
      </c>
      <c r="E96" s="11" t="str">
        <f t="shared" si="3"/>
        <v>NO</v>
      </c>
      <c r="F96" s="4" t="str">
        <f t="shared" si="4"/>
        <v/>
      </c>
      <c r="G96" s="11" t="str">
        <f t="array" ref="G96">XLOOKUP($C96,main!N$2:N$673,main!$B$2:$B$673,"")</f>
        <v/>
      </c>
      <c r="H96" s="11" t="str">
        <f t="array" ref="H96">XLOOKUP($C96,main!O$2:O$673,main!$B$2:$B$673,"")</f>
        <v/>
      </c>
      <c r="I96" s="11" t="str">
        <f t="array" ref="I96">XLOOKUP($C96,main!P$2:P$673,main!$B$2:$B$673,"")</f>
        <v/>
      </c>
      <c r="J96" s="11" t="str">
        <f t="array" ref="J96">XLOOKUP($C96,main!Q$2:Q$673,main!$B$2:$B$673,"")</f>
        <v/>
      </c>
      <c r="K96" s="16"/>
      <c r="L96" s="11"/>
    </row>
    <row r="97">
      <c r="A97" s="13" t="s">
        <v>21</v>
      </c>
      <c r="B97" s="13" t="s">
        <v>399</v>
      </c>
      <c r="C97" s="13" t="s">
        <v>400</v>
      </c>
      <c r="D97" s="14" t="s">
        <v>403</v>
      </c>
      <c r="E97" s="11" t="str">
        <f t="shared" si="3"/>
        <v>NO</v>
      </c>
      <c r="F97" s="4" t="str">
        <f t="shared" si="4"/>
        <v/>
      </c>
      <c r="G97" s="11" t="str">
        <f t="array" ref="G97">XLOOKUP($C97,main!N$2:N$673,main!$B$2:$B$673,"")</f>
        <v/>
      </c>
      <c r="H97" s="11" t="str">
        <f t="array" ref="H97">XLOOKUP($C97,main!O$2:O$673,main!$B$2:$B$673,"")</f>
        <v/>
      </c>
      <c r="I97" s="11" t="str">
        <f t="array" ref="I97">XLOOKUP($C97,main!P$2:P$673,main!$B$2:$B$673,"")</f>
        <v/>
      </c>
      <c r="J97" s="11" t="str">
        <f t="array" ref="J97">XLOOKUP($C97,main!Q$2:Q$673,main!$B$2:$B$673,"")</f>
        <v/>
      </c>
      <c r="K97" s="16"/>
      <c r="L97" s="11"/>
    </row>
    <row r="98">
      <c r="A98" s="13" t="s">
        <v>21</v>
      </c>
      <c r="B98" s="14" t="s">
        <v>399</v>
      </c>
      <c r="C98" s="14" t="s">
        <v>155</v>
      </c>
      <c r="D98" s="14" t="s">
        <v>404</v>
      </c>
      <c r="E98" s="11" t="str">
        <f t="shared" si="3"/>
        <v>YES</v>
      </c>
      <c r="F98" s="4" t="str">
        <f t="shared" si="4"/>
        <v>28 Jan
24 Feb</v>
      </c>
      <c r="G98" s="15">
        <f t="array" ref="G98">XLOOKUP($C98,main!N$2:N$673,main!$B$2:$B$673,"")</f>
        <v>46050</v>
      </c>
      <c r="H98" s="11" t="str">
        <f t="array" ref="H98">XLOOKUP($C98,main!O$2:O$673,main!$B$2:$B$673,"")</f>
        <v/>
      </c>
      <c r="I98" s="11" t="str">
        <f t="array" ref="I98">XLOOKUP($C98,main!P$2:P$673,main!$B$2:$B$673,"")</f>
        <v/>
      </c>
      <c r="J98" s="15">
        <f t="array" ref="J98">XLOOKUP($C98,main!Q$2:Q$673,main!$B$2:$B$673,"")</f>
        <v>46077</v>
      </c>
      <c r="K98" s="11"/>
      <c r="L98" s="11"/>
    </row>
    <row r="99">
      <c r="A99" s="13" t="s">
        <v>21</v>
      </c>
      <c r="B99" s="14" t="s">
        <v>399</v>
      </c>
      <c r="C99" s="14"/>
      <c r="D99" s="14" t="s">
        <v>405</v>
      </c>
      <c r="E99" s="11" t="str">
        <f t="shared" si="3"/>
        <v>NO</v>
      </c>
      <c r="F99" s="4" t="str">
        <f t="shared" si="4"/>
        <v/>
      </c>
      <c r="G99" s="11" t="str">
        <f t="array" ref="G99">XLOOKUP($C99,main!N$2:N$673,main!$B$2:$B$673,"")</f>
        <v/>
      </c>
      <c r="H99" s="11" t="str">
        <f t="array" ref="H99">XLOOKUP($C99,main!O$2:O$673,main!$B$2:$B$673,"")</f>
        <v/>
      </c>
      <c r="I99" s="11" t="str">
        <f t="array" ref="I99">XLOOKUP($C99,main!P$2:P$673,main!$B$2:$B$673,"")</f>
        <v/>
      </c>
      <c r="J99" s="11" t="str">
        <f t="array" ref="J99">XLOOKUP($C99,main!Q$2:Q$673,main!$B$2:$B$673,"")</f>
        <v/>
      </c>
      <c r="K99" s="11"/>
      <c r="L99" s="11"/>
    </row>
    <row r="100">
      <c r="A100" s="13" t="s">
        <v>21</v>
      </c>
      <c r="B100" s="14" t="s">
        <v>399</v>
      </c>
      <c r="C100" s="14"/>
      <c r="D100" s="14" t="s">
        <v>406</v>
      </c>
      <c r="E100" s="11" t="str">
        <f t="shared" si="3"/>
        <v>NO</v>
      </c>
      <c r="F100" s="4" t="str">
        <f t="shared" si="4"/>
        <v/>
      </c>
      <c r="G100" s="11" t="str">
        <f t="array" ref="G100">XLOOKUP($C100,main!N$2:N$673,main!$B$2:$B$673,"")</f>
        <v/>
      </c>
      <c r="H100" s="11" t="str">
        <f t="array" ref="H100">XLOOKUP($C100,main!O$2:O$673,main!$B$2:$B$673,"")</f>
        <v/>
      </c>
      <c r="I100" s="11" t="str">
        <f t="array" ref="I100">XLOOKUP($C100,main!P$2:P$673,main!$B$2:$B$673,"")</f>
        <v/>
      </c>
      <c r="J100" s="11" t="str">
        <f t="array" ref="J100">XLOOKUP($C100,main!Q$2:Q$673,main!$B$2:$B$673,"")</f>
        <v/>
      </c>
      <c r="K100" s="11"/>
      <c r="L100" s="11"/>
    </row>
    <row r="101">
      <c r="A101" s="13" t="s">
        <v>21</v>
      </c>
      <c r="B101" s="14" t="s">
        <v>399</v>
      </c>
      <c r="C101" s="14"/>
      <c r="D101" s="14" t="s">
        <v>407</v>
      </c>
      <c r="E101" s="11" t="str">
        <f t="shared" si="3"/>
        <v>NO</v>
      </c>
      <c r="F101" s="4" t="str">
        <f t="shared" si="4"/>
        <v/>
      </c>
      <c r="G101" s="11" t="str">
        <f t="array" ref="G101">XLOOKUP($C101,main!N$2:N$673,main!$B$2:$B$673,"")</f>
        <v/>
      </c>
      <c r="H101" s="11" t="str">
        <f t="array" ref="H101">XLOOKUP($C101,main!O$2:O$673,main!$B$2:$B$673,"")</f>
        <v/>
      </c>
      <c r="I101" s="11" t="str">
        <f t="array" ref="I101">XLOOKUP($C101,main!P$2:P$673,main!$B$2:$B$673,"")</f>
        <v/>
      </c>
      <c r="J101" s="11" t="str">
        <f t="array" ref="J101">XLOOKUP($C101,main!Q$2:Q$673,main!$B$2:$B$673,"")</f>
        <v/>
      </c>
      <c r="K101" s="11"/>
      <c r="L101" s="11"/>
    </row>
    <row r="102">
      <c r="A102" s="13" t="s">
        <v>21</v>
      </c>
      <c r="B102" s="14" t="s">
        <v>408</v>
      </c>
      <c r="C102" s="14" t="s">
        <v>409</v>
      </c>
      <c r="D102" s="14" t="s">
        <v>410</v>
      </c>
      <c r="E102" s="11" t="str">
        <f t="shared" si="3"/>
        <v>NO</v>
      </c>
      <c r="F102" s="4" t="str">
        <f t="shared" si="4"/>
        <v/>
      </c>
      <c r="G102" s="11" t="str">
        <f t="array" ref="G102">XLOOKUP($C102,main!N$2:N$673,main!$B$2:$B$673,"")</f>
        <v/>
      </c>
      <c r="H102" s="11" t="str">
        <f t="array" ref="H102">XLOOKUP($C102,main!O$2:O$673,main!$B$2:$B$673,"")</f>
        <v/>
      </c>
      <c r="I102" s="11" t="str">
        <f t="array" ref="I102">XLOOKUP($C102,main!P$2:P$673,main!$B$2:$B$673,"")</f>
        <v/>
      </c>
      <c r="J102" s="11" t="str">
        <f t="array" ref="J102">XLOOKUP($C102,main!Q$2:Q$673,main!$B$2:$B$673,"")</f>
        <v/>
      </c>
      <c r="K102" s="11"/>
      <c r="L102" s="11"/>
    </row>
    <row r="103">
      <c r="A103" s="13" t="s">
        <v>21</v>
      </c>
      <c r="B103" s="14" t="s">
        <v>408</v>
      </c>
      <c r="C103" s="14"/>
      <c r="D103" s="14" t="s">
        <v>411</v>
      </c>
      <c r="E103" s="11" t="str">
        <f t="shared" si="3"/>
        <v>NO</v>
      </c>
      <c r="F103" s="4" t="str">
        <f t="shared" si="4"/>
        <v/>
      </c>
      <c r="G103" s="11" t="str">
        <f t="array" ref="G103">XLOOKUP($C103,main!N$2:N$673,main!$B$2:$B$673,"")</f>
        <v/>
      </c>
      <c r="H103" s="11" t="str">
        <f t="array" ref="H103">XLOOKUP($C103,main!O$2:O$673,main!$B$2:$B$673,"")</f>
        <v/>
      </c>
      <c r="I103" s="11" t="str">
        <f t="array" ref="I103">XLOOKUP($C103,main!P$2:P$673,main!$B$2:$B$673,"")</f>
        <v/>
      </c>
      <c r="J103" s="11" t="str">
        <f t="array" ref="J103">XLOOKUP($C103,main!Q$2:Q$673,main!$B$2:$B$673,"")</f>
        <v/>
      </c>
      <c r="K103" s="11"/>
      <c r="L103" s="11"/>
    </row>
    <row r="104">
      <c r="A104" s="13" t="s">
        <v>21</v>
      </c>
      <c r="B104" s="14" t="s">
        <v>408</v>
      </c>
      <c r="C104" s="14"/>
      <c r="D104" s="14" t="s">
        <v>412</v>
      </c>
      <c r="E104" s="11" t="str">
        <f t="shared" si="3"/>
        <v>NO</v>
      </c>
      <c r="F104" s="4" t="str">
        <f t="shared" si="4"/>
        <v/>
      </c>
      <c r="G104" s="11" t="str">
        <f t="array" ref="G104">XLOOKUP($C104,main!N$2:N$673,main!$B$2:$B$673,"")</f>
        <v/>
      </c>
      <c r="H104" s="11" t="str">
        <f t="array" ref="H104">XLOOKUP($C104,main!O$2:O$673,main!$B$2:$B$673,"")</f>
        <v/>
      </c>
      <c r="I104" s="11" t="str">
        <f t="array" ref="I104">XLOOKUP($C104,main!P$2:P$673,main!$B$2:$B$673,"")</f>
        <v/>
      </c>
      <c r="J104" s="11" t="str">
        <f t="array" ref="J104">XLOOKUP($C104,main!Q$2:Q$673,main!$B$2:$B$673,"")</f>
        <v/>
      </c>
      <c r="K104" s="11"/>
      <c r="L104" s="11"/>
    </row>
    <row r="105">
      <c r="A105" s="13" t="s">
        <v>21</v>
      </c>
      <c r="B105" s="14" t="s">
        <v>413</v>
      </c>
      <c r="C105" s="14" t="s">
        <v>400</v>
      </c>
      <c r="D105" s="14" t="s">
        <v>414</v>
      </c>
      <c r="E105" s="11" t="str">
        <f t="shared" si="3"/>
        <v>NO</v>
      </c>
      <c r="F105" s="4" t="str">
        <f t="shared" si="4"/>
        <v/>
      </c>
      <c r="G105" s="11" t="str">
        <f t="array" ref="G105">XLOOKUP($C105,main!N$2:N$673,main!$B$2:$B$673,"")</f>
        <v/>
      </c>
      <c r="H105" s="11" t="str">
        <f t="array" ref="H105">XLOOKUP($C105,main!O$2:O$673,main!$B$2:$B$673,"")</f>
        <v/>
      </c>
      <c r="I105" s="11" t="str">
        <f t="array" ref="I105">XLOOKUP($C105,main!P$2:P$673,main!$B$2:$B$673,"")</f>
        <v/>
      </c>
      <c r="J105" s="11" t="str">
        <f t="array" ref="J105">XLOOKUP($C105,main!Q$2:Q$673,main!$B$2:$B$673,"")</f>
        <v/>
      </c>
      <c r="K105" s="11"/>
      <c r="L105" s="11"/>
    </row>
    <row r="106">
      <c r="A106" s="13" t="s">
        <v>21</v>
      </c>
      <c r="B106" s="14" t="s">
        <v>413</v>
      </c>
      <c r="C106" s="14" t="s">
        <v>415</v>
      </c>
      <c r="D106" s="14" t="s">
        <v>416</v>
      </c>
      <c r="E106" s="11" t="str">
        <f t="shared" si="3"/>
        <v>NO</v>
      </c>
      <c r="F106" s="4" t="str">
        <f t="shared" si="4"/>
        <v/>
      </c>
      <c r="G106" s="11" t="str">
        <f t="array" ref="G106">XLOOKUP($C106,main!N$2:N$673,main!$B$2:$B$673,"")</f>
        <v/>
      </c>
      <c r="H106" s="11" t="str">
        <f t="array" ref="H106">XLOOKUP($C106,main!O$2:O$673,main!$B$2:$B$673,"")</f>
        <v/>
      </c>
      <c r="I106" s="11" t="str">
        <f t="array" ref="I106">XLOOKUP($C106,main!P$2:P$673,main!$B$2:$B$673,"")</f>
        <v/>
      </c>
      <c r="J106" s="11" t="str">
        <f t="array" ref="J106">XLOOKUP($C106,main!Q$2:Q$673,main!$B$2:$B$673,"")</f>
        <v/>
      </c>
      <c r="K106" s="11"/>
      <c r="L106" s="11"/>
    </row>
    <row r="107">
      <c r="A107" s="13" t="s">
        <v>21</v>
      </c>
      <c r="B107" s="14" t="s">
        <v>413</v>
      </c>
      <c r="C107" s="14"/>
      <c r="D107" s="14" t="s">
        <v>417</v>
      </c>
      <c r="E107" s="11" t="str">
        <f t="shared" si="3"/>
        <v>NO</v>
      </c>
      <c r="F107" s="4" t="str">
        <f t="shared" si="4"/>
        <v/>
      </c>
      <c r="G107" s="11" t="str">
        <f t="array" ref="G107">XLOOKUP($C107,main!N$2:N$673,main!$B$2:$B$673,"")</f>
        <v/>
      </c>
      <c r="H107" s="11" t="str">
        <f t="array" ref="H107">XLOOKUP($C107,main!O$2:O$673,main!$B$2:$B$673,"")</f>
        <v/>
      </c>
      <c r="I107" s="11" t="str">
        <f t="array" ref="I107">XLOOKUP($C107,main!P$2:P$673,main!$B$2:$B$673,"")</f>
        <v/>
      </c>
      <c r="J107" s="11" t="str">
        <f t="array" ref="J107">XLOOKUP($C107,main!Q$2:Q$673,main!$B$2:$B$673,"")</f>
        <v/>
      </c>
      <c r="K107" s="11"/>
      <c r="L107" s="11"/>
    </row>
    <row r="108">
      <c r="A108" s="13" t="s">
        <v>21</v>
      </c>
      <c r="B108" s="14" t="s">
        <v>413</v>
      </c>
      <c r="C108" s="14"/>
      <c r="D108" s="14" t="s">
        <v>418</v>
      </c>
      <c r="E108" s="11" t="str">
        <f t="shared" si="3"/>
        <v>NO</v>
      </c>
      <c r="F108" s="4" t="str">
        <f t="shared" si="4"/>
        <v/>
      </c>
      <c r="G108" s="11" t="str">
        <f t="array" ref="G108">XLOOKUP($C108,main!N$2:N$673,main!$B$2:$B$673,"")</f>
        <v/>
      </c>
      <c r="H108" s="11" t="str">
        <f t="array" ref="H108">XLOOKUP($C108,main!O$2:O$673,main!$B$2:$B$673,"")</f>
        <v/>
      </c>
      <c r="I108" s="11" t="str">
        <f t="array" ref="I108">XLOOKUP($C108,main!P$2:P$673,main!$B$2:$B$673,"")</f>
        <v/>
      </c>
      <c r="J108" s="11" t="str">
        <f t="array" ref="J108">XLOOKUP($C108,main!Q$2:Q$673,main!$B$2:$B$673,"")</f>
        <v/>
      </c>
      <c r="K108" s="11"/>
      <c r="L108" s="11"/>
    </row>
    <row r="109">
      <c r="A109" s="13" t="s">
        <v>21</v>
      </c>
      <c r="B109" s="14" t="s">
        <v>419</v>
      </c>
      <c r="C109" s="14"/>
      <c r="D109" s="14" t="s">
        <v>420</v>
      </c>
      <c r="E109" s="11" t="str">
        <f t="shared" si="3"/>
        <v>NO</v>
      </c>
      <c r="F109" s="4" t="str">
        <f t="shared" si="4"/>
        <v/>
      </c>
      <c r="G109" s="11" t="str">
        <f t="array" ref="G109">XLOOKUP($C109,main!N$2:N$673,main!$B$2:$B$673,"")</f>
        <v/>
      </c>
      <c r="H109" s="11" t="str">
        <f t="array" ref="H109">XLOOKUP($C109,main!O$2:O$673,main!$B$2:$B$673,"")</f>
        <v/>
      </c>
      <c r="I109" s="11" t="str">
        <f t="array" ref="I109">XLOOKUP($C109,main!P$2:P$673,main!$B$2:$B$673,"")</f>
        <v/>
      </c>
      <c r="J109" s="11" t="str">
        <f t="array" ref="J109">XLOOKUP($C109,main!Q$2:Q$673,main!$B$2:$B$673,"")</f>
        <v/>
      </c>
      <c r="K109" s="11"/>
      <c r="L109" s="11"/>
    </row>
    <row r="110">
      <c r="A110" s="13" t="s">
        <v>21</v>
      </c>
      <c r="B110" s="14" t="s">
        <v>419</v>
      </c>
      <c r="C110" s="14"/>
      <c r="D110" s="14" t="s">
        <v>421</v>
      </c>
      <c r="E110" s="11" t="str">
        <f t="shared" si="3"/>
        <v>NO</v>
      </c>
      <c r="F110" s="4" t="str">
        <f t="shared" si="4"/>
        <v/>
      </c>
      <c r="G110" s="11" t="str">
        <f t="array" ref="G110">XLOOKUP($C110,main!N$2:N$673,main!$B$2:$B$673,"")</f>
        <v/>
      </c>
      <c r="H110" s="11" t="str">
        <f t="array" ref="H110">XLOOKUP($C110,main!O$2:O$673,main!$B$2:$B$673,"")</f>
        <v/>
      </c>
      <c r="I110" s="11" t="str">
        <f t="array" ref="I110">XLOOKUP($C110,main!P$2:P$673,main!$B$2:$B$673,"")</f>
        <v/>
      </c>
      <c r="J110" s="11" t="str">
        <f t="array" ref="J110">XLOOKUP($C110,main!Q$2:Q$673,main!$B$2:$B$673,"")</f>
        <v/>
      </c>
      <c r="K110" s="11"/>
      <c r="L110" s="11"/>
    </row>
    <row r="111">
      <c r="A111" s="13" t="s">
        <v>21</v>
      </c>
      <c r="B111" s="14" t="s">
        <v>419</v>
      </c>
      <c r="C111" s="14"/>
      <c r="D111" s="14" t="s">
        <v>422</v>
      </c>
      <c r="E111" s="11" t="str">
        <f t="shared" si="3"/>
        <v>NO</v>
      </c>
      <c r="F111" s="4" t="str">
        <f t="shared" si="4"/>
        <v/>
      </c>
      <c r="G111" s="11" t="str">
        <f t="array" ref="G111">XLOOKUP($C111,main!N$2:N$673,main!$B$2:$B$673,"")</f>
        <v/>
      </c>
      <c r="H111" s="11" t="str">
        <f t="array" ref="H111">XLOOKUP($C111,main!O$2:O$673,main!$B$2:$B$673,"")</f>
        <v/>
      </c>
      <c r="I111" s="11" t="str">
        <f t="array" ref="I111">XLOOKUP($C111,main!P$2:P$673,main!$B$2:$B$673,"")</f>
        <v/>
      </c>
      <c r="J111" s="11" t="str">
        <f t="array" ref="J111">XLOOKUP($C111,main!Q$2:Q$673,main!$B$2:$B$673,"")</f>
        <v/>
      </c>
      <c r="K111" s="11"/>
      <c r="L111" s="11"/>
    </row>
    <row r="112">
      <c r="A112" s="13" t="s">
        <v>117</v>
      </c>
      <c r="B112" s="14" t="s">
        <v>423</v>
      </c>
      <c r="C112" s="14"/>
      <c r="D112" s="14" t="s">
        <v>424</v>
      </c>
      <c r="E112" s="11" t="str">
        <f t="shared" si="3"/>
        <v>NO</v>
      </c>
      <c r="F112" s="4" t="str">
        <f t="shared" si="4"/>
        <v/>
      </c>
      <c r="G112" s="11" t="str">
        <f t="array" ref="G112">XLOOKUP($C112,main!N$2:N$673,main!$B$2:$B$673,"")</f>
        <v/>
      </c>
      <c r="H112" s="11" t="str">
        <f t="array" ref="H112">XLOOKUP($C112,main!O$2:O$673,main!$B$2:$B$673,"")</f>
        <v/>
      </c>
      <c r="I112" s="11" t="str">
        <f t="array" ref="I112">XLOOKUP($C112,main!P$2:P$673,main!$B$2:$B$673,"")</f>
        <v/>
      </c>
      <c r="J112" s="11" t="str">
        <f t="array" ref="J112">XLOOKUP($C112,main!Q$2:Q$673,main!$B$2:$B$673,"")</f>
        <v/>
      </c>
      <c r="K112" s="11"/>
      <c r="L112" s="11"/>
    </row>
    <row r="113">
      <c r="A113" s="13" t="s">
        <v>117</v>
      </c>
      <c r="B113" s="14" t="s">
        <v>423</v>
      </c>
      <c r="C113" s="14" t="s">
        <v>65</v>
      </c>
      <c r="D113" s="14" t="s">
        <v>425</v>
      </c>
      <c r="E113" s="11" t="str">
        <f t="shared" si="3"/>
        <v>YES</v>
      </c>
      <c r="F113" s="4" t="str">
        <f t="shared" si="4"/>
        <v>18 Feb
09 Mar
08 Jan</v>
      </c>
      <c r="G113" s="15">
        <f t="array" ref="G113">XLOOKUP($C113,main!N$2:N$673,main!$B$2:$B$673,"")</f>
        <v>46071</v>
      </c>
      <c r="H113" s="15">
        <f t="array" ref="H113">XLOOKUP($C113,main!O$2:O$673,main!$B$2:$B$673,"")</f>
        <v>46090</v>
      </c>
      <c r="I113" s="11" t="str">
        <f t="array" ref="I113">XLOOKUP($C113,main!P$2:P$673,main!$B$2:$B$673,"")</f>
        <v/>
      </c>
      <c r="J113" s="15">
        <f t="array" ref="J113">XLOOKUP($C113,main!Q$2:Q$673,main!$B$2:$B$673,"")</f>
        <v>46030</v>
      </c>
      <c r="K113" s="11"/>
      <c r="L113" s="11"/>
    </row>
    <row r="114">
      <c r="A114" s="13" t="s">
        <v>117</v>
      </c>
      <c r="B114" s="14" t="s">
        <v>423</v>
      </c>
      <c r="C114" s="14"/>
      <c r="D114" s="14" t="s">
        <v>426</v>
      </c>
      <c r="E114" s="11" t="str">
        <f t="shared" si="3"/>
        <v>NO</v>
      </c>
      <c r="F114" s="4" t="str">
        <f t="shared" si="4"/>
        <v/>
      </c>
      <c r="G114" s="11" t="str">
        <f t="array" ref="G114">XLOOKUP($C114,main!N$2:N$673,main!$B$2:$B$673,"")</f>
        <v/>
      </c>
      <c r="H114" s="11" t="str">
        <f t="array" ref="H114">XLOOKUP($C114,main!O$2:O$673,main!$B$2:$B$673,"")</f>
        <v/>
      </c>
      <c r="I114" s="11" t="str">
        <f t="array" ref="I114">XLOOKUP($C114,main!P$2:P$673,main!$B$2:$B$673,"")</f>
        <v/>
      </c>
      <c r="J114" s="11" t="str">
        <f t="array" ref="J114">XLOOKUP($C114,main!Q$2:Q$673,main!$B$2:$B$673,"")</f>
        <v/>
      </c>
      <c r="K114" s="11"/>
      <c r="L114" s="11"/>
    </row>
    <row r="115">
      <c r="A115" s="13" t="s">
        <v>117</v>
      </c>
      <c r="B115" s="14" t="s">
        <v>369</v>
      </c>
      <c r="C115" s="14" t="s">
        <v>194</v>
      </c>
      <c r="D115" s="14" t="s">
        <v>427</v>
      </c>
      <c r="E115" s="11" t="str">
        <f t="shared" si="3"/>
        <v>YES</v>
      </c>
      <c r="F115" s="4" t="str">
        <f t="shared" si="4"/>
        <v>11 Feb</v>
      </c>
      <c r="G115" s="15">
        <f t="array" ref="G115">XLOOKUP($C115,main!N$2:N$673,main!$B$2:$B$673,"")</f>
        <v>46064</v>
      </c>
      <c r="H115" s="11" t="str">
        <f t="array" ref="H115">XLOOKUP($C115,main!O$2:O$673,main!$B$2:$B$673,"")</f>
        <v/>
      </c>
      <c r="I115" s="11" t="str">
        <f t="array" ref="I115">XLOOKUP($C115,main!P$2:P$673,main!$B$2:$B$673,"")</f>
        <v/>
      </c>
      <c r="J115" s="11" t="str">
        <f t="array" ref="J115">XLOOKUP($C115,main!Q$2:Q$673,main!$B$2:$B$673,"")</f>
        <v/>
      </c>
      <c r="K115" s="11"/>
      <c r="L115" s="11"/>
    </row>
    <row r="116">
      <c r="A116" s="13" t="s">
        <v>117</v>
      </c>
      <c r="B116" s="14" t="s">
        <v>369</v>
      </c>
      <c r="C116" s="14" t="s">
        <v>194</v>
      </c>
      <c r="D116" s="14" t="s">
        <v>428</v>
      </c>
      <c r="E116" s="11" t="str">
        <f t="shared" si="3"/>
        <v>YES</v>
      </c>
      <c r="F116" s="4" t="str">
        <f t="shared" si="4"/>
        <v>11 Feb</v>
      </c>
      <c r="G116" s="15">
        <f t="array" ref="G116">XLOOKUP($C116,main!N$2:N$673,main!$B$2:$B$673,"")</f>
        <v>46064</v>
      </c>
      <c r="H116" s="11" t="str">
        <f t="array" ref="H116">XLOOKUP($C116,main!O$2:O$673,main!$B$2:$B$673,"")</f>
        <v/>
      </c>
      <c r="I116" s="11" t="str">
        <f t="array" ref="I116">XLOOKUP($C116,main!P$2:P$673,main!$B$2:$B$673,"")</f>
        <v/>
      </c>
      <c r="J116" s="11" t="str">
        <f t="array" ref="J116">XLOOKUP($C116,main!Q$2:Q$673,main!$B$2:$B$673,"")</f>
        <v/>
      </c>
      <c r="K116" s="11"/>
      <c r="L116" s="11"/>
    </row>
    <row r="117">
      <c r="A117" s="13" t="s">
        <v>117</v>
      </c>
      <c r="B117" s="14" t="s">
        <v>369</v>
      </c>
      <c r="C117" s="14" t="s">
        <v>194</v>
      </c>
      <c r="D117" s="14" t="s">
        <v>429</v>
      </c>
      <c r="E117" s="11" t="str">
        <f t="shared" si="3"/>
        <v>YES</v>
      </c>
      <c r="F117" s="4" t="str">
        <f t="shared" si="4"/>
        <v>11 Feb</v>
      </c>
      <c r="G117" s="15">
        <f t="array" ref="G117">XLOOKUP($C117,main!N$2:N$673,main!$B$2:$B$673,"")</f>
        <v>46064</v>
      </c>
      <c r="H117" s="11" t="str">
        <f t="array" ref="H117">XLOOKUP($C117,main!O$2:O$673,main!$B$2:$B$673,"")</f>
        <v/>
      </c>
      <c r="I117" s="11" t="str">
        <f t="array" ref="I117">XLOOKUP($C117,main!P$2:P$673,main!$B$2:$B$673,"")</f>
        <v/>
      </c>
      <c r="J117" s="11" t="str">
        <f t="array" ref="J117">XLOOKUP($C117,main!Q$2:Q$673,main!$B$2:$B$673,"")</f>
        <v/>
      </c>
      <c r="K117" s="11"/>
      <c r="L117" s="11"/>
    </row>
    <row r="118">
      <c r="A118" s="13" t="s">
        <v>117</v>
      </c>
      <c r="B118" s="14" t="s">
        <v>430</v>
      </c>
      <c r="C118" s="14"/>
      <c r="D118" s="14" t="s">
        <v>431</v>
      </c>
      <c r="E118" s="11" t="str">
        <f t="shared" si="3"/>
        <v>NO</v>
      </c>
      <c r="F118" s="4" t="str">
        <f t="shared" si="4"/>
        <v/>
      </c>
      <c r="G118" s="11" t="str">
        <f t="array" ref="G118">XLOOKUP($C118,main!N$2:N$673,main!$B$2:$B$673,"")</f>
        <v/>
      </c>
      <c r="H118" s="11" t="str">
        <f t="array" ref="H118">XLOOKUP($C118,main!O$2:O$673,main!$B$2:$B$673,"")</f>
        <v/>
      </c>
      <c r="I118" s="11" t="str">
        <f t="array" ref="I118">XLOOKUP($C118,main!P$2:P$673,main!$B$2:$B$673,"")</f>
        <v/>
      </c>
      <c r="J118" s="11" t="str">
        <f t="array" ref="J118">XLOOKUP($C118,main!Q$2:Q$673,main!$B$2:$B$673,"")</f>
        <v/>
      </c>
      <c r="K118" s="11"/>
      <c r="L118" s="11"/>
    </row>
    <row r="119">
      <c r="A119" s="13" t="s">
        <v>117</v>
      </c>
      <c r="B119" s="14" t="s">
        <v>430</v>
      </c>
      <c r="C119" s="14"/>
      <c r="D119" s="14" t="s">
        <v>432</v>
      </c>
      <c r="E119" s="11" t="str">
        <f t="shared" si="3"/>
        <v>NO</v>
      </c>
      <c r="F119" s="4" t="str">
        <f t="shared" si="4"/>
        <v/>
      </c>
      <c r="G119" s="11" t="str">
        <f t="array" ref="G119">XLOOKUP($C119,main!N$2:N$673,main!$B$2:$B$673,"")</f>
        <v/>
      </c>
      <c r="H119" s="11" t="str">
        <f t="array" ref="H119">XLOOKUP($C119,main!O$2:O$673,main!$B$2:$B$673,"")</f>
        <v/>
      </c>
      <c r="I119" s="11" t="str">
        <f t="array" ref="I119">XLOOKUP($C119,main!P$2:P$673,main!$B$2:$B$673,"")</f>
        <v/>
      </c>
      <c r="J119" s="11" t="str">
        <f t="array" ref="J119">XLOOKUP($C119,main!Q$2:Q$673,main!$B$2:$B$673,"")</f>
        <v/>
      </c>
      <c r="K119" s="11"/>
      <c r="L119" s="11"/>
    </row>
    <row r="120">
      <c r="A120" s="13" t="s">
        <v>117</v>
      </c>
      <c r="B120" s="14" t="s">
        <v>430</v>
      </c>
      <c r="C120" s="14"/>
      <c r="D120" s="14" t="s">
        <v>433</v>
      </c>
      <c r="E120" s="11" t="str">
        <f t="shared" si="3"/>
        <v>NO</v>
      </c>
      <c r="F120" s="4" t="str">
        <f t="shared" si="4"/>
        <v/>
      </c>
      <c r="G120" s="11" t="str">
        <f t="array" ref="G120">XLOOKUP($C120,main!N$2:N$673,main!$B$2:$B$673,"")</f>
        <v/>
      </c>
      <c r="H120" s="11" t="str">
        <f t="array" ref="H120">XLOOKUP($C120,main!O$2:O$673,main!$B$2:$B$673,"")</f>
        <v/>
      </c>
      <c r="I120" s="11" t="str">
        <f t="array" ref="I120">XLOOKUP($C120,main!P$2:P$673,main!$B$2:$B$673,"")</f>
        <v/>
      </c>
      <c r="J120" s="11" t="str">
        <f t="array" ref="J120">XLOOKUP($C120,main!Q$2:Q$673,main!$B$2:$B$673,"")</f>
        <v/>
      </c>
      <c r="K120" s="11"/>
      <c r="L120" s="11"/>
    </row>
    <row r="121">
      <c r="A121" s="13" t="s">
        <v>21</v>
      </c>
      <c r="B121" s="14" t="s">
        <v>434</v>
      </c>
      <c r="C121" s="14"/>
      <c r="D121" s="14" t="s">
        <v>435</v>
      </c>
      <c r="E121" s="11" t="str">
        <f t="shared" si="3"/>
        <v>NO</v>
      </c>
      <c r="F121" s="4" t="str">
        <f t="shared" si="4"/>
        <v/>
      </c>
      <c r="G121" s="11" t="str">
        <f t="array" ref="G121">XLOOKUP($C121,main!N$2:N$673,main!$B$2:$B$673,"")</f>
        <v/>
      </c>
      <c r="H121" s="11" t="str">
        <f t="array" ref="H121">XLOOKUP($C121,main!O$2:O$673,main!$B$2:$B$673,"")</f>
        <v/>
      </c>
      <c r="I121" s="11" t="str">
        <f t="array" ref="I121">XLOOKUP($C121,main!P$2:P$673,main!$B$2:$B$673,"")</f>
        <v/>
      </c>
      <c r="J121" s="11" t="str">
        <f t="array" ref="J121">XLOOKUP($C121,main!Q$2:Q$673,main!$B$2:$B$673,"")</f>
        <v/>
      </c>
      <c r="K121" s="11"/>
      <c r="L121" s="11"/>
    </row>
    <row r="122">
      <c r="A122" s="13" t="s">
        <v>21</v>
      </c>
      <c r="B122" s="14" t="s">
        <v>434</v>
      </c>
      <c r="C122" s="14"/>
      <c r="D122" s="14" t="s">
        <v>436</v>
      </c>
      <c r="E122" s="11" t="str">
        <f t="shared" si="3"/>
        <v>NO</v>
      </c>
      <c r="F122" s="4" t="str">
        <f t="shared" si="4"/>
        <v/>
      </c>
      <c r="G122" s="11" t="str">
        <f t="array" ref="G122">XLOOKUP($C122,main!N$2:N$673,main!$B$2:$B$673,"")</f>
        <v/>
      </c>
      <c r="H122" s="11" t="str">
        <f t="array" ref="H122">XLOOKUP($C122,main!O$2:O$673,main!$B$2:$B$673,"")</f>
        <v/>
      </c>
      <c r="I122" s="11" t="str">
        <f t="array" ref="I122">XLOOKUP($C122,main!P$2:P$673,main!$B$2:$B$673,"")</f>
        <v/>
      </c>
      <c r="J122" s="11" t="str">
        <f t="array" ref="J122">XLOOKUP($C122,main!Q$2:Q$673,main!$B$2:$B$673,"")</f>
        <v/>
      </c>
      <c r="K122" s="11"/>
      <c r="L122" s="11"/>
    </row>
    <row r="123">
      <c r="A123" s="13" t="s">
        <v>21</v>
      </c>
      <c r="B123" s="14" t="s">
        <v>434</v>
      </c>
      <c r="C123" s="14"/>
      <c r="D123" s="14" t="s">
        <v>437</v>
      </c>
      <c r="E123" s="11" t="str">
        <f t="shared" si="3"/>
        <v>NO</v>
      </c>
      <c r="F123" s="4" t="str">
        <f t="shared" si="4"/>
        <v/>
      </c>
      <c r="G123" s="11" t="str">
        <f t="array" ref="G123">XLOOKUP($C123,main!N$2:N$673,main!$B$2:$B$673,"")</f>
        <v/>
      </c>
      <c r="H123" s="11" t="str">
        <f t="array" ref="H123">XLOOKUP($C123,main!O$2:O$673,main!$B$2:$B$673,"")</f>
        <v/>
      </c>
      <c r="I123" s="11" t="str">
        <f t="array" ref="I123">XLOOKUP($C123,main!P$2:P$673,main!$B$2:$B$673,"")</f>
        <v/>
      </c>
      <c r="J123" s="11" t="str">
        <f t="array" ref="J123">XLOOKUP($C123,main!Q$2:Q$673,main!$B$2:$B$673,"")</f>
        <v/>
      </c>
      <c r="K123" s="11"/>
      <c r="L123" s="11"/>
    </row>
    <row r="124">
      <c r="A124" s="13" t="s">
        <v>21</v>
      </c>
      <c r="B124" s="14" t="s">
        <v>438</v>
      </c>
      <c r="C124" s="14"/>
      <c r="D124" s="14" t="s">
        <v>439</v>
      </c>
      <c r="E124" s="11" t="str">
        <f t="shared" si="3"/>
        <v>NO</v>
      </c>
      <c r="F124" s="4" t="str">
        <f t="shared" si="4"/>
        <v/>
      </c>
      <c r="G124" s="11" t="str">
        <f t="array" ref="G124">XLOOKUP($C124,main!N$2:N$673,main!$B$2:$B$673,"")</f>
        <v/>
      </c>
      <c r="H124" s="11" t="str">
        <f t="array" ref="H124">XLOOKUP($C124,main!O$2:O$673,main!$B$2:$B$673,"")</f>
        <v/>
      </c>
      <c r="I124" s="11" t="str">
        <f t="array" ref="I124">XLOOKUP($C124,main!P$2:P$673,main!$B$2:$B$673,"")</f>
        <v/>
      </c>
      <c r="J124" s="11" t="str">
        <f t="array" ref="J124">XLOOKUP($C124,main!Q$2:Q$673,main!$B$2:$B$673,"")</f>
        <v/>
      </c>
      <c r="K124" s="11"/>
      <c r="L124" s="11"/>
    </row>
    <row r="125">
      <c r="A125" s="13" t="s">
        <v>21</v>
      </c>
      <c r="B125" s="14" t="s">
        <v>438</v>
      </c>
      <c r="C125" s="14" t="s">
        <v>440</v>
      </c>
      <c r="D125" s="14" t="s">
        <v>441</v>
      </c>
      <c r="E125" s="11" t="str">
        <f t="shared" si="3"/>
        <v>NO</v>
      </c>
      <c r="F125" s="4" t="str">
        <f t="shared" si="4"/>
        <v/>
      </c>
      <c r="G125" s="11" t="str">
        <f t="array" ref="G125">XLOOKUP($C125,main!N$2:N$673,main!$B$2:$B$673,"")</f>
        <v/>
      </c>
      <c r="H125" s="11" t="str">
        <f t="array" ref="H125">XLOOKUP($C125,main!O$2:O$673,main!$B$2:$B$673,"")</f>
        <v/>
      </c>
      <c r="I125" s="11" t="str">
        <f t="array" ref="I125">XLOOKUP($C125,main!P$2:P$673,main!$B$2:$B$673,"")</f>
        <v/>
      </c>
      <c r="J125" s="11" t="str">
        <f t="array" ref="J125">XLOOKUP($C125,main!Q$2:Q$673,main!$B$2:$B$673,"")</f>
        <v/>
      </c>
      <c r="K125" s="11"/>
      <c r="L125" s="11"/>
    </row>
    <row r="126">
      <c r="A126" s="13" t="s">
        <v>21</v>
      </c>
      <c r="B126" s="14" t="s">
        <v>438</v>
      </c>
      <c r="C126" s="14"/>
      <c r="D126" s="14" t="s">
        <v>442</v>
      </c>
      <c r="E126" s="11" t="str">
        <f t="shared" si="3"/>
        <v>NO</v>
      </c>
      <c r="F126" s="4" t="str">
        <f t="shared" si="4"/>
        <v/>
      </c>
      <c r="G126" s="11" t="str">
        <f t="array" ref="G126">XLOOKUP($C126,main!N$2:N$673,main!$B$2:$B$673,"")</f>
        <v/>
      </c>
      <c r="H126" s="11" t="str">
        <f t="array" ref="H126">XLOOKUP($C126,main!O$2:O$673,main!$B$2:$B$673,"")</f>
        <v/>
      </c>
      <c r="I126" s="11" t="str">
        <f t="array" ref="I126">XLOOKUP($C126,main!P$2:P$673,main!$B$2:$B$673,"")</f>
        <v/>
      </c>
      <c r="J126" s="11" t="str">
        <f t="array" ref="J126">XLOOKUP($C126,main!Q$2:Q$673,main!$B$2:$B$673,"")</f>
        <v/>
      </c>
      <c r="K126" s="11"/>
      <c r="L126" s="11"/>
    </row>
    <row r="127">
      <c r="A127" s="13" t="s">
        <v>21</v>
      </c>
      <c r="B127" s="14" t="s">
        <v>443</v>
      </c>
      <c r="C127" s="14"/>
      <c r="D127" s="14" t="s">
        <v>444</v>
      </c>
      <c r="E127" s="11" t="str">
        <f t="shared" si="3"/>
        <v>NO</v>
      </c>
      <c r="F127" s="4" t="str">
        <f t="shared" si="4"/>
        <v/>
      </c>
      <c r="G127" s="11" t="str">
        <f t="array" ref="G127">XLOOKUP($C127,main!N$2:N$673,main!$B$2:$B$673,"")</f>
        <v/>
      </c>
      <c r="H127" s="11" t="str">
        <f t="array" ref="H127">XLOOKUP($C127,main!O$2:O$673,main!$B$2:$B$673,"")</f>
        <v/>
      </c>
      <c r="I127" s="11" t="str">
        <f t="array" ref="I127">XLOOKUP($C127,main!P$2:P$673,main!$B$2:$B$673,"")</f>
        <v/>
      </c>
      <c r="J127" s="11" t="str">
        <f t="array" ref="J127">XLOOKUP($C127,main!Q$2:Q$673,main!$B$2:$B$673,"")</f>
        <v/>
      </c>
      <c r="K127" s="11"/>
      <c r="L127" s="11"/>
    </row>
    <row r="128">
      <c r="A128" s="13" t="s">
        <v>21</v>
      </c>
      <c r="B128" s="14" t="s">
        <v>443</v>
      </c>
      <c r="C128" s="14"/>
      <c r="D128" s="14" t="s">
        <v>445</v>
      </c>
      <c r="E128" s="11" t="str">
        <f t="shared" si="3"/>
        <v>NO</v>
      </c>
      <c r="F128" s="4" t="str">
        <f t="shared" si="4"/>
        <v/>
      </c>
      <c r="G128" s="11" t="str">
        <f t="array" ref="G128">XLOOKUP($C128,main!N$2:N$673,main!$B$2:$B$673,"")</f>
        <v/>
      </c>
      <c r="H128" s="11" t="str">
        <f t="array" ref="H128">XLOOKUP($C128,main!O$2:O$673,main!$B$2:$B$673,"")</f>
        <v/>
      </c>
      <c r="I128" s="11" t="str">
        <f t="array" ref="I128">XLOOKUP($C128,main!P$2:P$673,main!$B$2:$B$673,"")</f>
        <v/>
      </c>
      <c r="J128" s="11" t="str">
        <f t="array" ref="J128">XLOOKUP($C128,main!Q$2:Q$673,main!$B$2:$B$673,"")</f>
        <v/>
      </c>
      <c r="K128" s="11"/>
      <c r="L128" s="11"/>
    </row>
    <row r="129">
      <c r="A129" s="13" t="s">
        <v>21</v>
      </c>
      <c r="B129" s="14" t="s">
        <v>443</v>
      </c>
      <c r="C129" s="14"/>
      <c r="D129" s="14" t="s">
        <v>446</v>
      </c>
      <c r="E129" s="11" t="str">
        <f t="shared" si="3"/>
        <v>NO</v>
      </c>
      <c r="F129" s="4" t="str">
        <f t="shared" si="4"/>
        <v/>
      </c>
      <c r="G129" s="11" t="str">
        <f t="array" ref="G129">XLOOKUP($C129,main!N$2:N$673,main!$B$2:$B$673,"")</f>
        <v/>
      </c>
      <c r="H129" s="11" t="str">
        <f t="array" ref="H129">XLOOKUP($C129,main!O$2:O$673,main!$B$2:$B$673,"")</f>
        <v/>
      </c>
      <c r="I129" s="11" t="str">
        <f t="array" ref="I129">XLOOKUP($C129,main!P$2:P$673,main!$B$2:$B$673,"")</f>
        <v/>
      </c>
      <c r="J129" s="11" t="str">
        <f t="array" ref="J129">XLOOKUP($C129,main!Q$2:Q$673,main!$B$2:$B$673,"")</f>
        <v/>
      </c>
      <c r="K129" s="11"/>
      <c r="L129" s="11"/>
    </row>
    <row r="130">
      <c r="A130" s="13" t="s">
        <v>21</v>
      </c>
      <c r="B130" s="14" t="s">
        <v>447</v>
      </c>
      <c r="C130" s="14" t="s">
        <v>223</v>
      </c>
      <c r="D130" s="14" t="s">
        <v>448</v>
      </c>
      <c r="E130" s="11" t="str">
        <f t="shared" si="3"/>
        <v>YES</v>
      </c>
      <c r="F130" s="4" t="str">
        <f t="shared" si="4"/>
        <v>24 Feb</v>
      </c>
      <c r="G130" s="15">
        <f t="array" ref="G130">XLOOKUP($C130,main!N$2:N$673,main!$B$2:$B$673,"")</f>
        <v>46077</v>
      </c>
      <c r="H130" s="11" t="str">
        <f t="array" ref="H130">XLOOKUP($C130,main!O$2:O$673,main!$B$2:$B$673,"")</f>
        <v/>
      </c>
      <c r="I130" s="11" t="str">
        <f t="array" ref="I130">XLOOKUP($C130,main!P$2:P$673,main!$B$2:$B$673,"")</f>
        <v/>
      </c>
      <c r="J130" s="11" t="str">
        <f t="array" ref="J130">XLOOKUP($C130,main!Q$2:Q$673,main!$B$2:$B$673,"")</f>
        <v/>
      </c>
      <c r="K130" s="11"/>
      <c r="L130" s="11"/>
    </row>
    <row r="131">
      <c r="A131" s="13" t="s">
        <v>21</v>
      </c>
      <c r="B131" s="14" t="s">
        <v>447</v>
      </c>
      <c r="C131" s="14" t="s">
        <v>211</v>
      </c>
      <c r="D131" s="14" t="s">
        <v>449</v>
      </c>
      <c r="E131" s="11" t="str">
        <f t="shared" si="3"/>
        <v>YES</v>
      </c>
      <c r="F131" s="4" t="str">
        <f t="shared" si="4"/>
        <v>18 Feb</v>
      </c>
      <c r="G131" s="11" t="str">
        <f t="array" ref="G131">XLOOKUP($C131,main!N$2:N$673,main!$B$2:$B$673,"")</f>
        <v/>
      </c>
      <c r="H131" s="15">
        <f t="array" ref="H131">XLOOKUP($C131,main!O$2:O$673,main!$B$2:$B$673,"")</f>
        <v>46071</v>
      </c>
      <c r="I131" s="11" t="str">
        <f t="array" ref="I131">XLOOKUP($C131,main!P$2:P$673,main!$B$2:$B$673,"")</f>
        <v/>
      </c>
      <c r="J131" s="11" t="str">
        <f t="array" ref="J131">XLOOKUP($C131,main!Q$2:Q$673,main!$B$2:$B$673,"")</f>
        <v/>
      </c>
      <c r="K131" s="11"/>
      <c r="L131" s="11"/>
    </row>
    <row r="132">
      <c r="A132" s="13" t="s">
        <v>21</v>
      </c>
      <c r="B132" s="14" t="s">
        <v>447</v>
      </c>
      <c r="C132" s="14"/>
      <c r="D132" s="14" t="s">
        <v>450</v>
      </c>
      <c r="E132" s="11" t="str">
        <f t="shared" si="3"/>
        <v>NO</v>
      </c>
      <c r="F132" s="4" t="str">
        <f t="shared" si="4"/>
        <v/>
      </c>
      <c r="G132" s="11" t="str">
        <f t="array" ref="G132">XLOOKUP($C132,main!N$2:N$673,main!$B$2:$B$673,"")</f>
        <v/>
      </c>
      <c r="H132" s="11" t="str">
        <f t="array" ref="H132">XLOOKUP($C132,main!O$2:O$673,main!$B$2:$B$673,"")</f>
        <v/>
      </c>
      <c r="I132" s="11" t="str">
        <f t="array" ref="I132">XLOOKUP($C132,main!P$2:P$673,main!$B$2:$B$673,"")</f>
        <v/>
      </c>
      <c r="J132" s="11" t="str">
        <f t="array" ref="J132">XLOOKUP($C132,main!Q$2:Q$673,main!$B$2:$B$673,"")</f>
        <v/>
      </c>
      <c r="K132" s="11"/>
      <c r="L132" s="11"/>
    </row>
    <row r="133">
      <c r="A133" s="13" t="s">
        <v>21</v>
      </c>
      <c r="B133" s="14" t="s">
        <v>451</v>
      </c>
      <c r="C133" s="14"/>
      <c r="D133" s="14" t="s">
        <v>452</v>
      </c>
      <c r="E133" s="11" t="str">
        <f t="shared" si="3"/>
        <v>NO</v>
      </c>
      <c r="F133" s="4" t="str">
        <f t="shared" si="4"/>
        <v/>
      </c>
      <c r="G133" s="11" t="str">
        <f t="array" ref="G133">XLOOKUP($C133,main!N$2:N$673,main!$B$2:$B$673,"")</f>
        <v/>
      </c>
      <c r="H133" s="11" t="str">
        <f t="array" ref="H133">XLOOKUP($C133,main!O$2:O$673,main!$B$2:$B$673,"")</f>
        <v/>
      </c>
      <c r="I133" s="11" t="str">
        <f t="array" ref="I133">XLOOKUP($C133,main!P$2:P$673,main!$B$2:$B$673,"")</f>
        <v/>
      </c>
      <c r="J133" s="11" t="str">
        <f t="array" ref="J133">XLOOKUP($C133,main!Q$2:Q$673,main!$B$2:$B$673,"")</f>
        <v/>
      </c>
      <c r="K133" s="11"/>
      <c r="L133" s="11"/>
    </row>
    <row r="134">
      <c r="A134" s="13" t="s">
        <v>21</v>
      </c>
      <c r="B134" s="14" t="s">
        <v>451</v>
      </c>
      <c r="C134" s="14" t="s">
        <v>119</v>
      </c>
      <c r="D134" s="14" t="s">
        <v>453</v>
      </c>
      <c r="E134" s="11" t="str">
        <f t="shared" si="3"/>
        <v>YES</v>
      </c>
      <c r="F134" s="4" t="str">
        <f t="shared" si="4"/>
        <v>31 Jan
29 Jan
16 Jan
17 Jan</v>
      </c>
      <c r="G134" s="15">
        <f t="array" ref="G134">XLOOKUP($C134,main!N$2:N$673,main!$B$2:$B$673,"")</f>
        <v>46053</v>
      </c>
      <c r="H134" s="15">
        <f t="array" ref="H134">XLOOKUP($C134,main!O$2:O$673,main!$B$2:$B$673,"")</f>
        <v>46051</v>
      </c>
      <c r="I134" s="15">
        <f t="array" ref="I134">XLOOKUP($C134,main!P$2:P$673,main!$B$2:$B$673,"")</f>
        <v>46038</v>
      </c>
      <c r="J134" s="15">
        <f t="array" ref="J134">XLOOKUP($C134,main!Q$2:Q$673,main!$B$2:$B$673,"")</f>
        <v>46039</v>
      </c>
      <c r="K134" s="11"/>
      <c r="L134" s="11"/>
    </row>
    <row r="135">
      <c r="A135" s="13" t="s">
        <v>21</v>
      </c>
      <c r="B135" s="14" t="s">
        <v>454</v>
      </c>
      <c r="C135" s="14" t="s">
        <v>455</v>
      </c>
      <c r="D135" s="14" t="s">
        <v>456</v>
      </c>
      <c r="E135" s="11" t="str">
        <f t="shared" si="3"/>
        <v>NO</v>
      </c>
      <c r="F135" s="4" t="str">
        <f t="shared" si="4"/>
        <v/>
      </c>
      <c r="G135" s="11" t="str">
        <f t="array" ref="G135">XLOOKUP($C135,main!N$2:N$673,main!$B$2:$B$673,"")</f>
        <v/>
      </c>
      <c r="H135" s="11" t="str">
        <f t="array" ref="H135">XLOOKUP($C135,main!O$2:O$673,main!$B$2:$B$673,"")</f>
        <v/>
      </c>
      <c r="I135" s="11" t="str">
        <f t="array" ref="I135">XLOOKUP($C135,main!P$2:P$673,main!$B$2:$B$673,"")</f>
        <v/>
      </c>
      <c r="J135" s="11" t="str">
        <f t="array" ref="J135">XLOOKUP($C135,main!Q$2:Q$673,main!$B$2:$B$673,"")</f>
        <v/>
      </c>
      <c r="K135" s="11"/>
      <c r="L135" s="11"/>
    </row>
    <row r="136">
      <c r="A136" s="13" t="s">
        <v>21</v>
      </c>
      <c r="B136" s="14" t="s">
        <v>454</v>
      </c>
      <c r="C136" s="14" t="s">
        <v>119</v>
      </c>
      <c r="D136" s="14" t="s">
        <v>457</v>
      </c>
      <c r="E136" s="11" t="str">
        <f t="shared" si="3"/>
        <v>YES</v>
      </c>
      <c r="F136" s="4" t="str">
        <f t="shared" si="4"/>
        <v>31 Jan
29 Jan
16 Jan
17 Jan</v>
      </c>
      <c r="G136" s="15">
        <f t="array" ref="G136">XLOOKUP($C136,main!N$2:N$673,main!$B$2:$B$673,"")</f>
        <v>46053</v>
      </c>
      <c r="H136" s="15">
        <f t="array" ref="H136">XLOOKUP($C136,main!O$2:O$673,main!$B$2:$B$673,"")</f>
        <v>46051</v>
      </c>
      <c r="I136" s="15">
        <f t="array" ref="I136">XLOOKUP($C136,main!P$2:P$673,main!$B$2:$B$673,"")</f>
        <v>46038</v>
      </c>
      <c r="J136" s="15">
        <f t="array" ref="J136">XLOOKUP($C136,main!Q$2:Q$673,main!$B$2:$B$673,"")</f>
        <v>46039</v>
      </c>
      <c r="K136" s="11"/>
      <c r="L136" s="11"/>
    </row>
    <row r="137">
      <c r="A137" s="13" t="s">
        <v>21</v>
      </c>
      <c r="B137" s="14" t="s">
        <v>454</v>
      </c>
      <c r="C137" s="14" t="s">
        <v>455</v>
      </c>
      <c r="D137" s="14" t="s">
        <v>458</v>
      </c>
      <c r="E137" s="11" t="str">
        <f t="shared" si="3"/>
        <v>NO</v>
      </c>
      <c r="F137" s="4" t="str">
        <f t="shared" si="4"/>
        <v/>
      </c>
      <c r="G137" s="11" t="str">
        <f t="array" ref="G137">XLOOKUP($C137,main!N$2:N$673,main!$B$2:$B$673,"")</f>
        <v/>
      </c>
      <c r="H137" s="11" t="str">
        <f t="array" ref="H137">XLOOKUP($C137,main!O$2:O$673,main!$B$2:$B$673,"")</f>
        <v/>
      </c>
      <c r="I137" s="11" t="str">
        <f t="array" ref="I137">XLOOKUP($C137,main!P$2:P$673,main!$B$2:$B$673,"")</f>
        <v/>
      </c>
      <c r="J137" s="11" t="str">
        <f t="array" ref="J137">XLOOKUP($C137,main!Q$2:Q$673,main!$B$2:$B$673,"")</f>
        <v/>
      </c>
      <c r="K137" s="11"/>
      <c r="L137" s="11"/>
    </row>
    <row r="138">
      <c r="A138" s="13" t="s">
        <v>21</v>
      </c>
      <c r="B138" s="14" t="s">
        <v>454</v>
      </c>
      <c r="C138" s="14"/>
      <c r="D138" s="14" t="s">
        <v>459</v>
      </c>
      <c r="E138" s="11" t="str">
        <f t="shared" si="3"/>
        <v>NO</v>
      </c>
      <c r="F138" s="4" t="str">
        <f t="shared" si="4"/>
        <v/>
      </c>
      <c r="G138" s="11" t="str">
        <f t="array" ref="G138">XLOOKUP($C138,main!N$2:N$673,main!$B$2:$B$673,"")</f>
        <v/>
      </c>
      <c r="H138" s="11" t="str">
        <f t="array" ref="H138">XLOOKUP($C138,main!O$2:O$673,main!$B$2:$B$673,"")</f>
        <v/>
      </c>
      <c r="I138" s="11" t="str">
        <f t="array" ref="I138">XLOOKUP($C138,main!P$2:P$673,main!$B$2:$B$673,"")</f>
        <v/>
      </c>
      <c r="J138" s="11" t="str">
        <f t="array" ref="J138">XLOOKUP($C138,main!Q$2:Q$673,main!$B$2:$B$673,"")</f>
        <v/>
      </c>
      <c r="K138" s="11"/>
      <c r="L138" s="11"/>
    </row>
    <row r="139">
      <c r="A139" s="13" t="s">
        <v>21</v>
      </c>
      <c r="B139" s="14" t="s">
        <v>454</v>
      </c>
      <c r="C139" s="14" t="s">
        <v>455</v>
      </c>
      <c r="D139" s="14" t="s">
        <v>460</v>
      </c>
      <c r="E139" s="11" t="str">
        <f t="shared" si="3"/>
        <v>NO</v>
      </c>
      <c r="F139" s="4" t="str">
        <f t="shared" si="4"/>
        <v/>
      </c>
      <c r="G139" s="11" t="str">
        <f t="array" ref="G139">XLOOKUP($C139,main!N$2:N$673,main!$B$2:$B$673,"")</f>
        <v/>
      </c>
      <c r="H139" s="11" t="str">
        <f t="array" ref="H139">XLOOKUP($C139,main!O$2:O$673,main!$B$2:$B$673,"")</f>
        <v/>
      </c>
      <c r="I139" s="11" t="str">
        <f t="array" ref="I139">XLOOKUP($C139,main!P$2:P$673,main!$B$2:$B$673,"")</f>
        <v/>
      </c>
      <c r="J139" s="11" t="str">
        <f t="array" ref="J139">XLOOKUP($C139,main!Q$2:Q$673,main!$B$2:$B$673,"")</f>
        <v/>
      </c>
      <c r="K139" s="11"/>
      <c r="L139" s="11"/>
    </row>
    <row r="140">
      <c r="A140" s="13" t="s">
        <v>21</v>
      </c>
      <c r="B140" s="14" t="s">
        <v>454</v>
      </c>
      <c r="C140" s="14"/>
      <c r="D140" s="14" t="s">
        <v>461</v>
      </c>
      <c r="E140" s="11" t="str">
        <f t="shared" si="3"/>
        <v>NO</v>
      </c>
      <c r="F140" s="4" t="str">
        <f t="shared" si="4"/>
        <v/>
      </c>
      <c r="G140" s="11" t="str">
        <f t="array" ref="G140">XLOOKUP($C140,main!N$2:N$673,main!$B$2:$B$673,"")</f>
        <v/>
      </c>
      <c r="H140" s="11" t="str">
        <f t="array" ref="H140">XLOOKUP($C140,main!O$2:O$673,main!$B$2:$B$673,"")</f>
        <v/>
      </c>
      <c r="I140" s="11" t="str">
        <f t="array" ref="I140">XLOOKUP($C140,main!P$2:P$673,main!$B$2:$B$673,"")</f>
        <v/>
      </c>
      <c r="J140" s="11" t="str">
        <f t="array" ref="J140">XLOOKUP($C140,main!Q$2:Q$673,main!$B$2:$B$673,"")</f>
        <v/>
      </c>
      <c r="K140" s="11"/>
      <c r="L140" s="11"/>
    </row>
    <row r="141">
      <c r="A141" s="13" t="s">
        <v>21</v>
      </c>
      <c r="B141" s="14" t="s">
        <v>454</v>
      </c>
      <c r="C141" s="14"/>
      <c r="D141" s="14" t="s">
        <v>462</v>
      </c>
      <c r="E141" s="11" t="str">
        <f t="shared" si="3"/>
        <v>NO</v>
      </c>
      <c r="F141" s="4" t="str">
        <f t="shared" si="4"/>
        <v/>
      </c>
      <c r="G141" s="11" t="str">
        <f t="array" ref="G141">XLOOKUP($C141,main!N$2:N$673,main!$B$2:$B$673,"")</f>
        <v/>
      </c>
      <c r="H141" s="11" t="str">
        <f t="array" ref="H141">XLOOKUP($C141,main!O$2:O$673,main!$B$2:$B$673,"")</f>
        <v/>
      </c>
      <c r="I141" s="11" t="str">
        <f t="array" ref="I141">XLOOKUP($C141,main!P$2:P$673,main!$B$2:$B$673,"")</f>
        <v/>
      </c>
      <c r="J141" s="11" t="str">
        <f t="array" ref="J141">XLOOKUP($C141,main!Q$2:Q$673,main!$B$2:$B$673,"")</f>
        <v/>
      </c>
      <c r="K141" s="11"/>
      <c r="L141" s="11"/>
    </row>
    <row r="142">
      <c r="A142" s="13" t="s">
        <v>21</v>
      </c>
      <c r="B142" s="14" t="s">
        <v>463</v>
      </c>
      <c r="C142" s="14" t="s">
        <v>49</v>
      </c>
      <c r="D142" s="14" t="s">
        <v>464</v>
      </c>
      <c r="E142" s="11" t="str">
        <f t="shared" si="3"/>
        <v>YES</v>
      </c>
      <c r="F142" s="4" t="str">
        <f t="shared" si="4"/>
        <v>16 Jan
07 Jan
20 Jan</v>
      </c>
      <c r="G142" s="15">
        <f t="array" ref="G142">XLOOKUP($C142,main!N$2:N$673,main!$B$2:$B$673,"")</f>
        <v>46038</v>
      </c>
      <c r="H142" s="15">
        <f t="array" ref="H142">XLOOKUP($C142,main!O$2:O$673,main!$B$2:$B$673,"")</f>
        <v>46029</v>
      </c>
      <c r="I142" s="15">
        <f t="array" ref="I142">XLOOKUP($C142,main!P$2:P$673,main!$B$2:$B$673,"")</f>
        <v>46042</v>
      </c>
      <c r="J142" s="11" t="str">
        <f t="array" ref="J142">XLOOKUP($C142,main!Q$2:Q$673,main!$B$2:$B$673,"")</f>
        <v/>
      </c>
      <c r="K142" s="11"/>
      <c r="L142" s="11"/>
    </row>
    <row r="143">
      <c r="A143" s="13" t="s">
        <v>21</v>
      </c>
      <c r="B143" s="14" t="s">
        <v>463</v>
      </c>
      <c r="C143" s="14" t="s">
        <v>49</v>
      </c>
      <c r="D143" s="14" t="s">
        <v>465</v>
      </c>
      <c r="E143" s="11" t="str">
        <f t="shared" si="3"/>
        <v>YES</v>
      </c>
      <c r="F143" s="4" t="str">
        <f t="shared" si="4"/>
        <v>16 Jan
07 Jan
20 Jan</v>
      </c>
      <c r="G143" s="15">
        <f t="array" ref="G143">XLOOKUP($C143,main!N$2:N$673,main!$B$2:$B$673,"")</f>
        <v>46038</v>
      </c>
      <c r="H143" s="15">
        <f t="array" ref="H143">XLOOKUP($C143,main!O$2:O$673,main!$B$2:$B$673,"")</f>
        <v>46029</v>
      </c>
      <c r="I143" s="15">
        <f t="array" ref="I143">XLOOKUP($C143,main!P$2:P$673,main!$B$2:$B$673,"")</f>
        <v>46042</v>
      </c>
      <c r="J143" s="11" t="str">
        <f t="array" ref="J143">XLOOKUP($C143,main!Q$2:Q$673,main!$B$2:$B$673,"")</f>
        <v/>
      </c>
      <c r="K143" s="11"/>
      <c r="L143" s="11"/>
    </row>
    <row r="144">
      <c r="A144" s="13" t="s">
        <v>21</v>
      </c>
      <c r="B144" s="14" t="s">
        <v>466</v>
      </c>
      <c r="C144" s="14" t="s">
        <v>137</v>
      </c>
      <c r="D144" s="14" t="s">
        <v>467</v>
      </c>
      <c r="E144" s="11" t="str">
        <f t="shared" si="3"/>
        <v>YES</v>
      </c>
      <c r="F144" s="4" t="str">
        <f t="shared" si="4"/>
        <v>21 Jan
11 Feb</v>
      </c>
      <c r="G144" s="11" t="str">
        <f t="array" ref="G144">XLOOKUP($C144,main!N$2:N$673,main!$B$2:$B$673,"")</f>
        <v/>
      </c>
      <c r="H144" s="15">
        <f t="array" ref="H144">XLOOKUP($C144,main!O$2:O$673,main!$B$2:$B$673,"")</f>
        <v>46043</v>
      </c>
      <c r="I144" s="15">
        <f t="array" ref="I144">XLOOKUP($C144,main!P$2:P$673,main!$B$2:$B$673,"")</f>
        <v>46064</v>
      </c>
      <c r="J144" s="11" t="str">
        <f t="array" ref="J144">XLOOKUP($C144,main!Q$2:Q$673,main!$B$2:$B$673,"")</f>
        <v/>
      </c>
      <c r="K144" s="11"/>
      <c r="L144" s="11"/>
    </row>
    <row r="145">
      <c r="A145" s="13" t="s">
        <v>21</v>
      </c>
      <c r="B145" s="14" t="s">
        <v>468</v>
      </c>
      <c r="C145" s="14" t="s">
        <v>469</v>
      </c>
      <c r="D145" s="14" t="s">
        <v>470</v>
      </c>
      <c r="E145" s="11" t="str">
        <f t="shared" si="3"/>
        <v>NO</v>
      </c>
      <c r="F145" s="4" t="str">
        <f t="shared" si="4"/>
        <v/>
      </c>
      <c r="G145" s="11" t="str">
        <f t="array" ref="G145">XLOOKUP($C145,main!N$2:N$673,main!$B$2:$B$673,"")</f>
        <v/>
      </c>
      <c r="H145" s="11" t="str">
        <f t="array" ref="H145">XLOOKUP($C145,main!O$2:O$673,main!$B$2:$B$673,"")</f>
        <v/>
      </c>
      <c r="I145" s="11" t="str">
        <f t="array" ref="I145">XLOOKUP($C145,main!P$2:P$673,main!$B$2:$B$673,"")</f>
        <v/>
      </c>
      <c r="J145" s="11" t="str">
        <f t="array" ref="J145">XLOOKUP($C145,main!Q$2:Q$673,main!$B$2:$B$673,"")</f>
        <v/>
      </c>
      <c r="K145" s="11"/>
      <c r="L145" s="11"/>
    </row>
    <row r="146">
      <c r="A146" s="13" t="s">
        <v>21</v>
      </c>
      <c r="B146" s="14" t="s">
        <v>468</v>
      </c>
      <c r="C146" s="14" t="s">
        <v>471</v>
      </c>
      <c r="D146" s="14" t="s">
        <v>472</v>
      </c>
      <c r="E146" s="11" t="str">
        <f t="shared" si="3"/>
        <v>NO</v>
      </c>
      <c r="F146" s="4" t="str">
        <f t="shared" si="4"/>
        <v/>
      </c>
      <c r="G146" s="11" t="str">
        <f t="array" ref="G146">XLOOKUP($C146,main!N$2:N$673,main!$B$2:$B$673,"")</f>
        <v/>
      </c>
      <c r="H146" s="11" t="str">
        <f t="array" ref="H146">XLOOKUP($C146,main!O$2:O$673,main!$B$2:$B$673,"")</f>
        <v/>
      </c>
      <c r="I146" s="11" t="str">
        <f t="array" ref="I146">XLOOKUP($C146,main!P$2:P$673,main!$B$2:$B$673,"")</f>
        <v/>
      </c>
      <c r="J146" s="11" t="str">
        <f t="array" ref="J146">XLOOKUP($C146,main!Q$2:Q$673,main!$B$2:$B$673,"")</f>
        <v/>
      </c>
      <c r="K146" s="11"/>
      <c r="L146" s="11"/>
    </row>
    <row r="147">
      <c r="A147" s="13" t="s">
        <v>21</v>
      </c>
      <c r="B147" s="14" t="s">
        <v>468</v>
      </c>
      <c r="C147" s="14" t="s">
        <v>471</v>
      </c>
      <c r="D147" s="14" t="s">
        <v>473</v>
      </c>
      <c r="E147" s="11" t="str">
        <f t="shared" si="3"/>
        <v>NO</v>
      </c>
      <c r="F147" s="4" t="str">
        <f t="shared" si="4"/>
        <v/>
      </c>
      <c r="G147" s="11" t="str">
        <f t="array" ref="G147">XLOOKUP($C147,main!N$2:N$673,main!$B$2:$B$673,"")</f>
        <v/>
      </c>
      <c r="H147" s="11" t="str">
        <f t="array" ref="H147">XLOOKUP($C147,main!O$2:O$673,main!$B$2:$B$673,"")</f>
        <v/>
      </c>
      <c r="I147" s="11" t="str">
        <f t="array" ref="I147">XLOOKUP($C147,main!P$2:P$673,main!$B$2:$B$673,"")</f>
        <v/>
      </c>
      <c r="J147" s="11" t="str">
        <f t="array" ref="J147">XLOOKUP($C147,main!Q$2:Q$673,main!$B$2:$B$673,"")</f>
        <v/>
      </c>
      <c r="K147" s="11"/>
      <c r="L147" s="11"/>
    </row>
    <row r="148">
      <c r="A148" s="13" t="s">
        <v>21</v>
      </c>
      <c r="B148" s="14" t="s">
        <v>468</v>
      </c>
      <c r="C148" s="14" t="s">
        <v>158</v>
      </c>
      <c r="D148" s="14" t="s">
        <v>474</v>
      </c>
      <c r="E148" s="11" t="str">
        <f t="shared" si="3"/>
        <v>YES</v>
      </c>
      <c r="F148" s="4" t="str">
        <f t="shared" si="4"/>
        <v>28 Jan
03 Feb</v>
      </c>
      <c r="G148" s="11" t="str">
        <f t="array" ref="G148">XLOOKUP($C148,main!N$2:N$673,main!$B$2:$B$673,"")</f>
        <v/>
      </c>
      <c r="H148" s="15">
        <f t="array" ref="H148">XLOOKUP($C148,main!O$2:O$673,main!$B$2:$B$673,"")</f>
        <v>46050</v>
      </c>
      <c r="I148" s="15">
        <f t="array" ref="I148">XLOOKUP($C148,main!P$2:P$673,main!$B$2:$B$673,"")</f>
        <v>46056</v>
      </c>
      <c r="J148" s="11" t="str">
        <f t="array" ref="J148">XLOOKUP($C148,main!Q$2:Q$673,main!$B$2:$B$673,"")</f>
        <v/>
      </c>
      <c r="K148" s="11"/>
      <c r="L148" s="11"/>
    </row>
    <row r="149">
      <c r="A149" s="13" t="s">
        <v>21</v>
      </c>
      <c r="B149" s="14" t="s">
        <v>475</v>
      </c>
      <c r="C149" s="14" t="s">
        <v>224</v>
      </c>
      <c r="D149" s="14" t="s">
        <v>476</v>
      </c>
      <c r="E149" s="11" t="str">
        <f t="shared" si="3"/>
        <v>YES</v>
      </c>
      <c r="F149" s="4" t="str">
        <f t="shared" si="4"/>
        <v>24 Feb</v>
      </c>
      <c r="G149" s="11" t="str">
        <f t="array" ref="G149">XLOOKUP($C149,main!N$2:N$673,main!$B$2:$B$673,"")</f>
        <v/>
      </c>
      <c r="H149" s="11" t="str">
        <f t="array" ref="H149">XLOOKUP($C149,main!O$2:O$673,main!$B$2:$B$673,"")</f>
        <v/>
      </c>
      <c r="I149" s="15">
        <f t="array" ref="I149">XLOOKUP($C149,main!P$2:P$673,main!$B$2:$B$673,"")</f>
        <v>46077</v>
      </c>
      <c r="J149" s="11" t="str">
        <f t="array" ref="J149">XLOOKUP($C149,main!Q$2:Q$673,main!$B$2:$B$673,"")</f>
        <v/>
      </c>
      <c r="K149" s="11"/>
      <c r="L149" s="11"/>
    </row>
    <row r="150">
      <c r="A150" s="13" t="s">
        <v>21</v>
      </c>
      <c r="B150" s="14" t="s">
        <v>475</v>
      </c>
      <c r="C150" s="14" t="s">
        <v>84</v>
      </c>
      <c r="D150" s="14" t="s">
        <v>477</v>
      </c>
      <c r="E150" s="11" t="str">
        <f t="shared" si="3"/>
        <v>YES</v>
      </c>
      <c r="F150" s="4" t="str">
        <f t="shared" si="4"/>
        <v>09 Jan</v>
      </c>
      <c r="G150" s="11" t="str">
        <f t="array" ref="G150">XLOOKUP($C150,main!N$2:N$673,main!$B$2:$B$673,"")</f>
        <v/>
      </c>
      <c r="H150" s="15">
        <f t="array" ref="H150">XLOOKUP($C150,main!O$2:O$673,main!$B$2:$B$673,"")</f>
        <v>46031</v>
      </c>
      <c r="I150" s="11" t="str">
        <f t="array" ref="I150">XLOOKUP($C150,main!P$2:P$673,main!$B$2:$B$673,"")</f>
        <v/>
      </c>
      <c r="J150" s="11" t="str">
        <f t="array" ref="J150">XLOOKUP($C150,main!Q$2:Q$673,main!$B$2:$B$673,"")</f>
        <v/>
      </c>
      <c r="K150" s="11"/>
      <c r="L150" s="11"/>
    </row>
    <row r="151">
      <c r="A151" s="13" t="s">
        <v>313</v>
      </c>
      <c r="B151" s="14" t="s">
        <v>478</v>
      </c>
      <c r="C151" s="14" t="s">
        <v>42</v>
      </c>
      <c r="D151" s="14" t="s">
        <v>479</v>
      </c>
      <c r="E151" s="11" t="str">
        <f t="shared" si="3"/>
        <v>YES</v>
      </c>
      <c r="F151" s="4" t="str">
        <f t="shared" si="4"/>
        <v>06 Jan</v>
      </c>
      <c r="G151" s="11" t="str">
        <f t="array" ref="G151">XLOOKUP($C151,main!N$2:N$673,main!$B$2:$B$673,"")</f>
        <v/>
      </c>
      <c r="H151" s="15">
        <f t="array" ref="H151">XLOOKUP($C151,main!O$2:O$673,main!$B$2:$B$673,"")</f>
        <v>46028</v>
      </c>
      <c r="I151" s="11" t="str">
        <f t="array" ref="I151">XLOOKUP($C151,main!P$2:P$673,main!$B$2:$B$673,"")</f>
        <v/>
      </c>
      <c r="J151" s="11" t="str">
        <f t="array" ref="J151">XLOOKUP($C151,main!Q$2:Q$673,main!$B$2:$B$673,"")</f>
        <v/>
      </c>
      <c r="K151" s="11"/>
      <c r="L151" s="11"/>
    </row>
    <row r="152">
      <c r="A152" s="13" t="s">
        <v>313</v>
      </c>
      <c r="B152" s="14" t="s">
        <v>478</v>
      </c>
      <c r="C152" s="14" t="s">
        <v>42</v>
      </c>
      <c r="D152" s="14" t="s">
        <v>480</v>
      </c>
      <c r="E152" s="11" t="str">
        <f t="shared" si="3"/>
        <v>YES</v>
      </c>
      <c r="F152" s="4" t="str">
        <f t="shared" si="4"/>
        <v>06 Jan</v>
      </c>
      <c r="G152" s="11" t="str">
        <f t="array" ref="G152">XLOOKUP($C152,main!N$2:N$673,main!$B$2:$B$673,"")</f>
        <v/>
      </c>
      <c r="H152" s="15">
        <f t="array" ref="H152">XLOOKUP($C152,main!O$2:O$673,main!$B$2:$B$673,"")</f>
        <v>46028</v>
      </c>
      <c r="I152" s="11" t="str">
        <f t="array" ref="I152">XLOOKUP($C152,main!P$2:P$673,main!$B$2:$B$673,"")</f>
        <v/>
      </c>
      <c r="J152" s="11" t="str">
        <f t="array" ref="J152">XLOOKUP($C152,main!Q$2:Q$673,main!$B$2:$B$673,"")</f>
        <v/>
      </c>
      <c r="K152" s="11"/>
      <c r="L152" s="11"/>
    </row>
    <row r="153">
      <c r="A153" s="13" t="s">
        <v>313</v>
      </c>
      <c r="B153" s="14" t="s">
        <v>478</v>
      </c>
      <c r="C153" s="14" t="s">
        <v>481</v>
      </c>
      <c r="D153" s="14" t="s">
        <v>482</v>
      </c>
      <c r="E153" s="11" t="str">
        <f t="shared" si="3"/>
        <v>NO</v>
      </c>
      <c r="F153" s="4" t="str">
        <f t="shared" si="4"/>
        <v/>
      </c>
      <c r="G153" s="11" t="str">
        <f t="array" ref="G153">XLOOKUP($C153,main!N$2:N$673,main!$B$2:$B$673,"")</f>
        <v/>
      </c>
      <c r="H153" s="11" t="str">
        <f t="array" ref="H153">XLOOKUP($C153,main!O$2:O$673,main!$B$2:$B$673,"")</f>
        <v/>
      </c>
      <c r="I153" s="11" t="str">
        <f t="array" ref="I153">XLOOKUP($C153,main!P$2:P$673,main!$B$2:$B$673,"")</f>
        <v/>
      </c>
      <c r="J153" s="11" t="str">
        <f t="array" ref="J153">XLOOKUP($C153,main!Q$2:Q$673,main!$B$2:$B$673,"")</f>
        <v/>
      </c>
      <c r="K153" s="11"/>
      <c r="L153" s="11"/>
    </row>
    <row r="154">
      <c r="A154" s="13" t="s">
        <v>313</v>
      </c>
      <c r="B154" s="14" t="s">
        <v>478</v>
      </c>
      <c r="C154" s="14" t="s">
        <v>483</v>
      </c>
      <c r="D154" s="14" t="s">
        <v>484</v>
      </c>
      <c r="E154" s="11" t="str">
        <f t="shared" si="3"/>
        <v>NO</v>
      </c>
      <c r="F154" s="4" t="str">
        <f t="shared" si="4"/>
        <v/>
      </c>
      <c r="G154" s="11" t="str">
        <f t="array" ref="G154">XLOOKUP($C154,main!N$2:N$673,main!$B$2:$B$673,"")</f>
        <v/>
      </c>
      <c r="H154" s="11" t="str">
        <f t="array" ref="H154">XLOOKUP($C154,main!O$2:O$673,main!$B$2:$B$673,"")</f>
        <v/>
      </c>
      <c r="I154" s="11" t="str">
        <f t="array" ref="I154">XLOOKUP($C154,main!P$2:P$673,main!$B$2:$B$673,"")</f>
        <v/>
      </c>
      <c r="J154" s="11" t="str">
        <f t="array" ref="J154">XLOOKUP($C154,main!Q$2:Q$673,main!$B$2:$B$673,"")</f>
        <v/>
      </c>
      <c r="K154" s="16"/>
      <c r="L154" s="11"/>
    </row>
    <row r="155">
      <c r="A155" s="13" t="s">
        <v>313</v>
      </c>
      <c r="B155" s="14" t="s">
        <v>478</v>
      </c>
      <c r="C155" s="14" t="s">
        <v>231</v>
      </c>
      <c r="D155" s="14" t="s">
        <v>485</v>
      </c>
      <c r="E155" s="11" t="str">
        <f t="shared" si="3"/>
        <v>YES</v>
      </c>
      <c r="F155" s="4" t="str">
        <f t="shared" si="4"/>
        <v>25 Feb</v>
      </c>
      <c r="G155" s="11" t="str">
        <f t="array" ref="G155">XLOOKUP($C155,main!N$2:N$673,main!$B$2:$B$673,"")</f>
        <v/>
      </c>
      <c r="H155" s="15">
        <f t="array" ref="H155">XLOOKUP($C155,main!O$2:O$673,main!$B$2:$B$673,"")</f>
        <v>46078</v>
      </c>
      <c r="I155" s="11" t="str">
        <f t="array" ref="I155">XLOOKUP($C155,main!P$2:P$673,main!$B$2:$B$673,"")</f>
        <v/>
      </c>
      <c r="J155" s="11" t="str">
        <f t="array" ref="J155">XLOOKUP($C155,main!Q$2:Q$673,main!$B$2:$B$673,"")</f>
        <v/>
      </c>
      <c r="K155" s="16"/>
      <c r="L155" s="11"/>
    </row>
    <row r="156">
      <c r="A156" s="13" t="s">
        <v>313</v>
      </c>
      <c r="B156" s="19" t="s">
        <v>314</v>
      </c>
      <c r="C156" s="19" t="s">
        <v>191</v>
      </c>
      <c r="D156" s="19"/>
      <c r="E156" s="11" t="str">
        <f t="shared" si="3"/>
        <v>YES</v>
      </c>
      <c r="F156" s="4" t="str">
        <f t="shared" si="4"/>
        <v>10 Feb</v>
      </c>
      <c r="G156" s="11" t="str">
        <f t="array" ref="G156">XLOOKUP($C156,main!N$2:N$673,main!$B$2:$B$673,"")</f>
        <v/>
      </c>
      <c r="H156" s="11" t="str">
        <f t="array" ref="H156">XLOOKUP($C156,main!O$2:O$673,main!$B$2:$B$673,"")</f>
        <v/>
      </c>
      <c r="I156" s="11" t="str">
        <f t="array" ref="I156">XLOOKUP($C156,main!P$2:P$673,main!$B$2:$B$673,"")</f>
        <v/>
      </c>
      <c r="J156" s="15">
        <f t="array" ref="J156">XLOOKUP($C156,main!Q$2:Q$673,main!$B$2:$B$673,"")</f>
        <v>46063</v>
      </c>
      <c r="K156" s="11"/>
      <c r="L156" s="16"/>
    </row>
    <row r="157">
      <c r="A157" s="13" t="s">
        <v>313</v>
      </c>
      <c r="B157" s="19" t="s">
        <v>314</v>
      </c>
      <c r="C157" s="19" t="s">
        <v>486</v>
      </c>
      <c r="D157" s="19"/>
      <c r="E157" s="11" t="str">
        <f t="shared" si="3"/>
        <v>NO</v>
      </c>
      <c r="F157" s="4" t="str">
        <f t="shared" si="4"/>
        <v/>
      </c>
      <c r="G157" s="11" t="str">
        <f t="array" ref="G157">XLOOKUP($C157,main!N$2:N$673,main!$B$2:$B$673,"")</f>
        <v/>
      </c>
      <c r="H157" s="11" t="str">
        <f t="array" ref="H157">XLOOKUP($C157,main!O$2:O$673,main!$B$2:$B$673,"")</f>
        <v/>
      </c>
      <c r="I157" s="11" t="str">
        <f t="array" ref="I157">XLOOKUP($C157,main!P$2:P$673,main!$B$2:$B$673,"")</f>
        <v/>
      </c>
      <c r="J157" s="11" t="str">
        <f t="array" ref="J157">XLOOKUP($C157,main!Q$2:Q$673,main!$B$2:$B$673,"")</f>
        <v/>
      </c>
      <c r="K157" s="11"/>
      <c r="L157" s="16"/>
    </row>
    <row r="158">
      <c r="A158" s="13" t="s">
        <v>487</v>
      </c>
      <c r="B158" s="19" t="s">
        <v>487</v>
      </c>
      <c r="C158" s="19" t="s">
        <v>161</v>
      </c>
      <c r="D158" s="19"/>
      <c r="E158" s="11" t="str">
        <f t="shared" si="3"/>
        <v>NO</v>
      </c>
      <c r="F158" s="4" t="str">
        <f t="shared" si="4"/>
        <v/>
      </c>
      <c r="G158" s="11" t="str">
        <f t="array" ref="G158">XLOOKUP($C158,main!N$2:N$673,main!$B$2:$B$673,"")</f>
        <v/>
      </c>
      <c r="H158" s="11" t="str">
        <f t="array" ref="H158">XLOOKUP($C158,main!O$2:O$673,main!$B$2:$B$673,"")</f>
        <v/>
      </c>
      <c r="I158" s="11" t="str">
        <f t="array" ref="I158">XLOOKUP($C158,main!P$2:P$673,main!$B$2:$B$673,"")</f>
        <v/>
      </c>
      <c r="J158" s="11" t="str">
        <f t="array" ref="J158">XLOOKUP($C158,main!Q$2:Q$673,main!$B$2:$B$673,"")</f>
        <v/>
      </c>
      <c r="K158" s="11"/>
      <c r="L158" s="16"/>
    </row>
    <row r="159">
      <c r="A159" s="13" t="s">
        <v>487</v>
      </c>
      <c r="B159" s="19" t="s">
        <v>487</v>
      </c>
      <c r="C159" s="19" t="s">
        <v>159</v>
      </c>
      <c r="D159" s="19"/>
      <c r="E159" s="11" t="str">
        <f t="shared" si="3"/>
        <v>YES</v>
      </c>
      <c r="F159" s="4" t="str">
        <f t="shared" si="4"/>
        <v>29 Jan</v>
      </c>
      <c r="G159" s="15">
        <f t="array" ref="G159">XLOOKUP($C159,main!N$2:N$673,main!$B$2:$B$673,"")</f>
        <v>46051</v>
      </c>
      <c r="H159" s="11" t="str">
        <f t="array" ref="H159">XLOOKUP($C159,main!O$2:O$673,main!$B$2:$B$673,"")</f>
        <v/>
      </c>
      <c r="I159" s="11" t="str">
        <f t="array" ref="I159">XLOOKUP($C159,main!P$2:P$673,main!$B$2:$B$673,"")</f>
        <v/>
      </c>
      <c r="J159" s="11" t="str">
        <f t="array" ref="J159">XLOOKUP($C159,main!Q$2:Q$673,main!$B$2:$B$673,"")</f>
        <v/>
      </c>
      <c r="K159" s="11"/>
      <c r="L159" s="16"/>
    </row>
    <row r="160">
      <c r="A160" s="13" t="s">
        <v>487</v>
      </c>
      <c r="B160" s="19" t="s">
        <v>487</v>
      </c>
      <c r="C160" s="19" t="s">
        <v>83</v>
      </c>
      <c r="D160" s="19"/>
      <c r="E160" s="11" t="str">
        <f t="shared" si="3"/>
        <v>YES</v>
      </c>
      <c r="F160" s="4" t="str">
        <f t="shared" si="4"/>
        <v>09 Jan
31 Jan</v>
      </c>
      <c r="G160" s="15">
        <f t="array" ref="G160">XLOOKUP($C160,main!N$2:N$673,main!$B$2:$B$673,"")</f>
        <v>46031</v>
      </c>
      <c r="H160" s="11" t="str">
        <f t="array" ref="H160">XLOOKUP($C160,main!O$2:O$673,main!$B$2:$B$673,"")</f>
        <v/>
      </c>
      <c r="I160" s="15">
        <f t="array" ref="I160">XLOOKUP($C160,main!P$2:P$673,main!$B$2:$B$673,"")</f>
        <v>46053</v>
      </c>
      <c r="J160" s="11" t="str">
        <f t="array" ref="J160">XLOOKUP($C160,main!Q$2:Q$673,main!$B$2:$B$673,"")</f>
        <v/>
      </c>
      <c r="K160" s="11"/>
      <c r="L160" s="16"/>
    </row>
    <row r="161">
      <c r="A161" s="13" t="s">
        <v>488</v>
      </c>
      <c r="B161" s="20" t="s">
        <v>489</v>
      </c>
      <c r="C161" s="20" t="s">
        <v>490</v>
      </c>
      <c r="D161" s="19"/>
      <c r="E161" s="11" t="str">
        <f t="shared" si="3"/>
        <v>NO</v>
      </c>
      <c r="F161" s="4" t="str">
        <f t="shared" si="4"/>
        <v/>
      </c>
      <c r="G161" s="11" t="str">
        <f t="array" ref="G161">XLOOKUP($C161,main!N$2:N$673,main!$B$2:$B$673,"")</f>
        <v/>
      </c>
      <c r="H161" s="11" t="str">
        <f t="array" ref="H161">XLOOKUP($C161,main!O$2:O$673,main!$B$2:$B$673,"")</f>
        <v/>
      </c>
      <c r="I161" s="11" t="str">
        <f t="array" ref="I161">XLOOKUP($C161,main!P$2:P$673,main!$B$2:$B$673,"")</f>
        <v/>
      </c>
      <c r="J161" s="11" t="str">
        <f t="array" ref="J161">XLOOKUP($C161,main!Q$2:Q$673,main!$B$2:$B$673,"")</f>
        <v/>
      </c>
      <c r="K161" s="16"/>
      <c r="L161" s="16"/>
    </row>
    <row r="162">
      <c r="A162" s="13" t="s">
        <v>488</v>
      </c>
      <c r="B162" s="19" t="s">
        <v>489</v>
      </c>
      <c r="C162" s="19" t="s">
        <v>83</v>
      </c>
      <c r="D162" s="19"/>
      <c r="E162" s="11" t="str">
        <f t="shared" si="3"/>
        <v>YES</v>
      </c>
      <c r="F162" s="4" t="str">
        <f t="shared" si="4"/>
        <v>09 Jan
31 Jan</v>
      </c>
      <c r="G162" s="15">
        <f t="array" ref="G162">XLOOKUP($C162,main!N$2:N$673,main!$B$2:$B$673,"")</f>
        <v>46031</v>
      </c>
      <c r="H162" s="11" t="str">
        <f t="array" ref="H162">XLOOKUP($C162,main!O$2:O$673,main!$B$2:$B$673,"")</f>
        <v/>
      </c>
      <c r="I162" s="15">
        <f t="array" ref="I162">XLOOKUP($C162,main!P$2:P$673,main!$B$2:$B$673,"")</f>
        <v>46053</v>
      </c>
      <c r="J162" s="11" t="str">
        <f t="array" ref="J162">XLOOKUP($C162,main!Q$2:Q$673,main!$B$2:$B$673,"")</f>
        <v/>
      </c>
      <c r="K162" s="11"/>
      <c r="L162" s="16"/>
    </row>
    <row r="163">
      <c r="A163" s="13" t="s">
        <v>488</v>
      </c>
      <c r="B163" s="19" t="s">
        <v>120</v>
      </c>
      <c r="C163" s="19" t="s">
        <v>83</v>
      </c>
      <c r="D163" s="19"/>
      <c r="E163" s="11" t="str">
        <f t="shared" si="3"/>
        <v>YES</v>
      </c>
      <c r="F163" s="4" t="str">
        <f t="shared" si="4"/>
        <v>09 Jan
31 Jan</v>
      </c>
      <c r="G163" s="15">
        <f t="array" ref="G163">XLOOKUP($C163,main!N$2:N$673,main!$B$2:$B$673,"")</f>
        <v>46031</v>
      </c>
      <c r="H163" s="11" t="str">
        <f t="array" ref="H163">XLOOKUP($C163,main!O$2:O$673,main!$B$2:$B$673,"")</f>
        <v/>
      </c>
      <c r="I163" s="15">
        <f t="array" ref="I163">XLOOKUP($C163,main!P$2:P$673,main!$B$2:$B$673,"")</f>
        <v>46053</v>
      </c>
      <c r="J163" s="11" t="str">
        <f t="array" ref="J163">XLOOKUP($C163,main!Q$2:Q$673,main!$B$2:$B$673,"")</f>
        <v/>
      </c>
      <c r="K163" s="11"/>
      <c r="L163" s="16"/>
    </row>
    <row r="164">
      <c r="A164" s="13" t="s">
        <v>488</v>
      </c>
      <c r="B164" s="19" t="s">
        <v>491</v>
      </c>
      <c r="C164" s="19" t="s">
        <v>492</v>
      </c>
      <c r="D164" s="19"/>
      <c r="E164" s="11" t="str">
        <f t="shared" si="3"/>
        <v>NO</v>
      </c>
      <c r="F164" s="4" t="str">
        <f t="shared" si="4"/>
        <v/>
      </c>
      <c r="G164" s="11" t="str">
        <f t="array" ref="G164">XLOOKUP($C164,main!N$2:N$673,main!$B$2:$B$673,"")</f>
        <v/>
      </c>
      <c r="H164" s="11" t="str">
        <f t="array" ref="H164">XLOOKUP($C164,main!O$2:O$673,main!$B$2:$B$673,"")</f>
        <v/>
      </c>
      <c r="I164" s="11" t="str">
        <f t="array" ref="I164">XLOOKUP($C164,main!P$2:P$673,main!$B$2:$B$673,"")</f>
        <v/>
      </c>
      <c r="J164" s="11" t="str">
        <f t="array" ref="J164">XLOOKUP($C164,main!Q$2:Q$673,main!$B$2:$B$673,"")</f>
        <v/>
      </c>
      <c r="K164" s="11"/>
      <c r="L164" s="16"/>
    </row>
    <row r="165">
      <c r="A165" s="13" t="s">
        <v>488</v>
      </c>
      <c r="B165" s="19" t="s">
        <v>491</v>
      </c>
      <c r="C165" s="19" t="s">
        <v>214</v>
      </c>
      <c r="D165" s="19"/>
      <c r="E165" s="11" t="str">
        <f t="shared" si="3"/>
        <v>YES</v>
      </c>
      <c r="F165" s="4" t="str">
        <f t="shared" si="4"/>
        <v>18 Feb</v>
      </c>
      <c r="G165" s="11" t="str">
        <f t="array" ref="G165">XLOOKUP($C165,main!N$2:N$673,main!$B$2:$B$673,"")</f>
        <v/>
      </c>
      <c r="H165" s="11" t="str">
        <f t="array" ref="H165">XLOOKUP($C165,main!O$2:O$673,main!$B$2:$B$673,"")</f>
        <v/>
      </c>
      <c r="I165" s="11" t="str">
        <f t="array" ref="I165">XLOOKUP($C165,main!P$2:P$673,main!$B$2:$B$673,"")</f>
        <v/>
      </c>
      <c r="J165" s="15">
        <f t="array" ref="J165">XLOOKUP($C165,main!Q$2:Q$673,main!$B$2:$B$673,"")</f>
        <v>46071</v>
      </c>
      <c r="K165" s="11"/>
      <c r="L165" s="16"/>
    </row>
    <row r="166">
      <c r="A166" s="13" t="s">
        <v>488</v>
      </c>
      <c r="B166" s="19" t="s">
        <v>491</v>
      </c>
      <c r="C166" s="19" t="s">
        <v>229</v>
      </c>
      <c r="D166" s="19"/>
      <c r="E166" s="11" t="str">
        <f t="shared" si="3"/>
        <v>YES</v>
      </c>
      <c r="F166" s="4" t="str">
        <f t="shared" si="4"/>
        <v>25 Feb</v>
      </c>
      <c r="G166" s="11" t="str">
        <f t="array" ref="G166">XLOOKUP($C166,main!N$2:N$673,main!$B$2:$B$673,"")</f>
        <v/>
      </c>
      <c r="H166" s="11" t="str">
        <f t="array" ref="H166">XLOOKUP($C166,main!O$2:O$673,main!$B$2:$B$673,"")</f>
        <v/>
      </c>
      <c r="I166" s="15">
        <f t="array" ref="I166">XLOOKUP($C166,main!P$2:P$673,main!$B$2:$B$673,"")</f>
        <v>46078</v>
      </c>
      <c r="J166" s="11" t="str">
        <f t="array" ref="J166">XLOOKUP($C166,main!Q$2:Q$673,main!$B$2:$B$673,"")</f>
        <v/>
      </c>
      <c r="K166" s="11"/>
      <c r="L166" s="16"/>
    </row>
    <row r="167">
      <c r="A167" s="13" t="s">
        <v>488</v>
      </c>
      <c r="B167" s="19" t="s">
        <v>491</v>
      </c>
      <c r="C167" s="19" t="s">
        <v>212</v>
      </c>
      <c r="D167" s="19"/>
      <c r="E167" s="11" t="str">
        <f t="shared" si="3"/>
        <v>YES</v>
      </c>
      <c r="F167" s="4" t="str">
        <f t="shared" si="4"/>
        <v>18 Feb</v>
      </c>
      <c r="G167" s="11" t="str">
        <f t="array" ref="G167">XLOOKUP($C167,main!N$2:N$673,main!$B$2:$B$673,"")</f>
        <v/>
      </c>
      <c r="H167" s="11" t="str">
        <f t="array" ref="H167">XLOOKUP($C167,main!O$2:O$673,main!$B$2:$B$673,"")</f>
        <v/>
      </c>
      <c r="I167" s="15">
        <f t="array" ref="I167">XLOOKUP($C167,main!P$2:P$673,main!$B$2:$B$673,"")</f>
        <v>46071</v>
      </c>
      <c r="J167" s="11" t="str">
        <f t="array" ref="J167">XLOOKUP($C167,main!Q$2:Q$673,main!$B$2:$B$673,"")</f>
        <v/>
      </c>
      <c r="K167" s="11"/>
      <c r="L167" s="16"/>
    </row>
    <row r="168">
      <c r="A168" s="13" t="s">
        <v>488</v>
      </c>
      <c r="B168" s="19" t="s">
        <v>491</v>
      </c>
      <c r="C168" s="19" t="s">
        <v>493</v>
      </c>
      <c r="D168" s="19"/>
      <c r="E168" s="11" t="str">
        <f t="shared" si="3"/>
        <v>NO</v>
      </c>
      <c r="F168" s="4" t="str">
        <f t="shared" si="4"/>
        <v/>
      </c>
      <c r="G168" s="11" t="str">
        <f t="array" ref="G168">XLOOKUP($C168,main!N$2:N$673,main!$B$2:$B$673,"")</f>
        <v/>
      </c>
      <c r="H168" s="11" t="str">
        <f t="array" ref="H168">XLOOKUP($C168,main!O$2:O$673,main!$B$2:$B$673,"")</f>
        <v/>
      </c>
      <c r="I168" s="11" t="str">
        <f t="array" ref="I168">XLOOKUP($C168,main!P$2:P$673,main!$B$2:$B$673,"")</f>
        <v/>
      </c>
      <c r="J168" s="11" t="str">
        <f t="array" ref="J168">XLOOKUP($C168,main!Q$2:Q$673,main!$B$2:$B$673,"")</f>
        <v/>
      </c>
      <c r="K168" s="11"/>
      <c r="L168" s="16"/>
    </row>
    <row r="169">
      <c r="A169" s="13" t="s">
        <v>488</v>
      </c>
      <c r="B169" s="19" t="s">
        <v>491</v>
      </c>
      <c r="C169" s="19" t="s">
        <v>89</v>
      </c>
      <c r="D169" s="19"/>
      <c r="E169" s="11" t="str">
        <f t="shared" si="3"/>
        <v>YES</v>
      </c>
      <c r="F169" s="4" t="str">
        <f t="shared" si="4"/>
        <v>12 Jan
09 Feb</v>
      </c>
      <c r="G169" s="11" t="str">
        <f t="array" ref="G169">XLOOKUP($C169,main!N$2:N$673,main!$B$2:$B$673,"")</f>
        <v/>
      </c>
      <c r="H169" s="15">
        <f t="array" ref="H169">XLOOKUP($C169,main!O$2:O$673,main!$B$2:$B$673,"")</f>
        <v>46034</v>
      </c>
      <c r="I169" s="15">
        <f t="array" ref="I169">XLOOKUP($C169,main!P$2:P$673,main!$B$2:$B$673,"")</f>
        <v>46062</v>
      </c>
      <c r="J169" s="11" t="str">
        <f t="array" ref="J169">XLOOKUP($C169,main!Q$2:Q$673,main!$B$2:$B$673,"")</f>
        <v/>
      </c>
      <c r="K169" s="11"/>
      <c r="L169" s="16"/>
    </row>
    <row r="170">
      <c r="A170" s="13" t="s">
        <v>488</v>
      </c>
      <c r="B170" s="19" t="s">
        <v>491</v>
      </c>
      <c r="C170" s="19" t="s">
        <v>90</v>
      </c>
      <c r="D170" s="19"/>
      <c r="E170" s="11" t="str">
        <f t="shared" si="3"/>
        <v>YES</v>
      </c>
      <c r="F170" s="4" t="str">
        <f t="shared" si="4"/>
        <v>10 Jan
31 Jan</v>
      </c>
      <c r="G170" s="15">
        <f t="array" ref="G170">XLOOKUP($C170,main!N$2:N$673,main!$B$2:$B$673,"")</f>
        <v>46032</v>
      </c>
      <c r="H170" s="11" t="str">
        <f t="array" ref="H170">XLOOKUP($C170,main!O$2:O$673,main!$B$2:$B$673,"")</f>
        <v/>
      </c>
      <c r="I170" s="11" t="str">
        <f t="array" ref="I170">XLOOKUP($C170,main!P$2:P$673,main!$B$2:$B$673,"")</f>
        <v/>
      </c>
      <c r="J170" s="15">
        <f t="array" ref="J170">XLOOKUP($C170,main!Q$2:Q$673,main!$B$2:$B$673,"")</f>
        <v>46053</v>
      </c>
      <c r="K170" s="11"/>
      <c r="L170" s="16"/>
    </row>
    <row r="171">
      <c r="A171" s="13" t="s">
        <v>488</v>
      </c>
      <c r="B171" s="19" t="s">
        <v>491</v>
      </c>
      <c r="C171" s="19" t="s">
        <v>91</v>
      </c>
      <c r="D171" s="19"/>
      <c r="E171" s="11" t="str">
        <f t="shared" si="3"/>
        <v>YES</v>
      </c>
      <c r="F171" s="4" t="str">
        <f t="shared" si="4"/>
        <v>10 Jan</v>
      </c>
      <c r="G171" s="11" t="str">
        <f t="array" ref="G171">XLOOKUP($C171,main!N$2:N$673,main!$B$2:$B$673,"")</f>
        <v/>
      </c>
      <c r="H171" s="15">
        <f t="array" ref="H171">XLOOKUP($C171,main!O$2:O$673,main!$B$2:$B$673,"")</f>
        <v>46032</v>
      </c>
      <c r="I171" s="11" t="str">
        <f t="array" ref="I171">XLOOKUP($C171,main!P$2:P$673,main!$B$2:$B$673,"")</f>
        <v/>
      </c>
      <c r="J171" s="11" t="str">
        <f t="array" ref="J171">XLOOKUP($C171,main!Q$2:Q$673,main!$B$2:$B$673,"")</f>
        <v/>
      </c>
      <c r="K171" s="11"/>
      <c r="L171" s="16"/>
    </row>
    <row r="172">
      <c r="A172" s="13" t="s">
        <v>488</v>
      </c>
      <c r="B172" s="19" t="s">
        <v>491</v>
      </c>
      <c r="C172" s="19" t="s">
        <v>494</v>
      </c>
      <c r="D172" s="19"/>
      <c r="E172" s="11" t="str">
        <f t="shared" si="3"/>
        <v>NO</v>
      </c>
      <c r="F172" s="4" t="str">
        <f t="shared" si="4"/>
        <v/>
      </c>
      <c r="G172" s="11" t="str">
        <f t="array" ref="G172">XLOOKUP($C172,main!N$2:N$673,main!$B$2:$B$673,"")</f>
        <v/>
      </c>
      <c r="H172" s="11" t="str">
        <f t="array" ref="H172">XLOOKUP($C172,main!O$2:O$673,main!$B$2:$B$673,"")</f>
        <v/>
      </c>
      <c r="I172" s="11" t="str">
        <f t="array" ref="I172">XLOOKUP($C172,main!P$2:P$673,main!$B$2:$B$673,"")</f>
        <v/>
      </c>
      <c r="J172" s="11" t="str">
        <f t="array" ref="J172">XLOOKUP($C172,main!Q$2:Q$673,main!$B$2:$B$673,"")</f>
        <v/>
      </c>
      <c r="K172" s="11"/>
      <c r="L172" s="16"/>
    </row>
    <row r="173">
      <c r="A173" s="13" t="s">
        <v>488</v>
      </c>
      <c r="B173" s="19" t="s">
        <v>491</v>
      </c>
      <c r="C173" s="19" t="s">
        <v>82</v>
      </c>
      <c r="D173" s="19"/>
      <c r="E173" s="11" t="str">
        <f t="shared" si="3"/>
        <v>YES</v>
      </c>
      <c r="F173" s="4" t="str">
        <f t="shared" si="4"/>
        <v>09 Jan</v>
      </c>
      <c r="G173" s="11" t="str">
        <f t="array" ref="G173">XLOOKUP($C173,main!N$2:N$673,main!$B$2:$B$673,"")</f>
        <v/>
      </c>
      <c r="H173" s="11" t="str">
        <f t="array" ref="H173">XLOOKUP($C173,main!O$2:O$673,main!$B$2:$B$673,"")</f>
        <v/>
      </c>
      <c r="I173" s="11" t="str">
        <f t="array" ref="I173">XLOOKUP($C173,main!P$2:P$673,main!$B$2:$B$673,"")</f>
        <v/>
      </c>
      <c r="J173" s="15">
        <f t="array" ref="J173">XLOOKUP($C173,main!Q$2:Q$673,main!$B$2:$B$673,"")</f>
        <v>46031</v>
      </c>
      <c r="K173" s="11"/>
      <c r="L173" s="16"/>
    </row>
    <row r="174">
      <c r="A174" s="13" t="s">
        <v>21</v>
      </c>
      <c r="B174" s="19" t="s">
        <v>209</v>
      </c>
      <c r="C174" s="19" t="s">
        <v>72</v>
      </c>
      <c r="D174" s="19"/>
      <c r="E174" s="11" t="str">
        <f t="shared" si="3"/>
        <v>YES</v>
      </c>
      <c r="F174" s="4" t="str">
        <f t="shared" si="4"/>
        <v>08 Jan</v>
      </c>
      <c r="G174" s="15">
        <f t="array" ref="G174">XLOOKUP($C174,main!N$2:N$673,main!$B$2:$B$673,"")</f>
        <v>46030</v>
      </c>
      <c r="H174" s="11" t="str">
        <f t="array" ref="H174">XLOOKUP($C174,main!O$2:O$673,main!$B$2:$B$673,"")</f>
        <v/>
      </c>
      <c r="I174" s="11" t="str">
        <f t="array" ref="I174">XLOOKUP($C174,main!P$2:P$673,main!$B$2:$B$673,"")</f>
        <v/>
      </c>
      <c r="J174" s="11" t="str">
        <f t="array" ref="J174">XLOOKUP($C174,main!Q$2:Q$673,main!$B$2:$B$673,"")</f>
        <v/>
      </c>
      <c r="K174" s="11"/>
      <c r="L174" s="16"/>
    </row>
    <row r="175">
      <c r="A175" s="13" t="s">
        <v>488</v>
      </c>
      <c r="B175" s="19" t="s">
        <v>491</v>
      </c>
      <c r="C175" s="19" t="s">
        <v>81</v>
      </c>
      <c r="D175" s="19"/>
      <c r="E175" s="11" t="str">
        <f t="shared" si="3"/>
        <v>YES</v>
      </c>
      <c r="F175" s="4" t="str">
        <f t="shared" si="4"/>
        <v>31 Jan
20 Jan
09 Jan</v>
      </c>
      <c r="G175" s="15">
        <f t="array" ref="G175">XLOOKUP($C175,main!N$2:N$673,main!$B$2:$B$673,"")</f>
        <v>46053</v>
      </c>
      <c r="H175" s="15">
        <f t="array" ref="H175">XLOOKUP($C175,main!O$2:O$673,main!$B$2:$B$673,"")</f>
        <v>46042</v>
      </c>
      <c r="I175" s="15">
        <f t="array" ref="I175">XLOOKUP($C175,main!P$2:P$673,main!$B$2:$B$673,"")</f>
        <v>46031</v>
      </c>
      <c r="J175" s="11" t="str">
        <f t="array" ref="J175">XLOOKUP($C175,main!Q$2:Q$673,main!$B$2:$B$673,"")</f>
        <v/>
      </c>
      <c r="K175" s="11"/>
      <c r="L175" s="16"/>
    </row>
    <row r="176">
      <c r="A176" s="13" t="s">
        <v>487</v>
      </c>
      <c r="B176" s="19" t="s">
        <v>120</v>
      </c>
      <c r="C176" s="19" t="s">
        <v>120</v>
      </c>
      <c r="D176" s="19"/>
      <c r="E176" s="11" t="str">
        <f t="shared" si="3"/>
        <v>YES</v>
      </c>
      <c r="F176" s="4" t="str">
        <f t="shared" si="4"/>
        <v>05 Feb
17 Feb
16 Jan</v>
      </c>
      <c r="G176" s="15">
        <f t="array" ref="G176">XLOOKUP($C176,main!N$2:N$673,main!$B$2:$B$673,"")</f>
        <v>46058</v>
      </c>
      <c r="H176" s="15">
        <f t="array" ref="H176">XLOOKUP($C176,main!O$2:O$673,main!$B$2:$B$673,"")</f>
        <v>46070</v>
      </c>
      <c r="I176" s="11" t="str">
        <f t="array" ref="I176">XLOOKUP($C176,main!P$2:P$673,main!$B$2:$B$673,"")</f>
        <v/>
      </c>
      <c r="J176" s="15">
        <f t="array" ref="J176">XLOOKUP($C176,main!Q$2:Q$673,main!$B$2:$B$673,"")</f>
        <v>46038</v>
      </c>
      <c r="K176" s="11"/>
      <c r="L176" s="16"/>
    </row>
    <row r="177">
      <c r="A177" s="13" t="s">
        <v>487</v>
      </c>
      <c r="B177" s="19" t="s">
        <v>487</v>
      </c>
      <c r="C177" s="19" t="s">
        <v>495</v>
      </c>
      <c r="D177" s="19"/>
      <c r="E177" s="11" t="str">
        <f t="shared" si="3"/>
        <v>NO</v>
      </c>
      <c r="F177" s="4" t="str">
        <f t="shared" si="4"/>
        <v/>
      </c>
      <c r="G177" s="11" t="str">
        <f t="array" ref="G177">XLOOKUP($C177,main!N$2:N$673,main!$B$2:$B$673,"")</f>
        <v/>
      </c>
      <c r="H177" s="11" t="str">
        <f t="array" ref="H177">XLOOKUP($C177,main!O$2:O$673,main!$B$2:$B$673,"")</f>
        <v/>
      </c>
      <c r="I177" s="11" t="str">
        <f t="array" ref="I177">XLOOKUP($C177,main!P$2:P$673,main!$B$2:$B$673,"")</f>
        <v/>
      </c>
      <c r="J177" s="11" t="str">
        <f t="array" ref="J177">XLOOKUP($C177,main!Q$2:Q$673,main!$B$2:$B$673,"")</f>
        <v/>
      </c>
      <c r="K177" s="11"/>
      <c r="L177" s="16"/>
    </row>
    <row r="178">
      <c r="A178" s="13" t="s">
        <v>487</v>
      </c>
      <c r="B178" s="19" t="s">
        <v>487</v>
      </c>
      <c r="C178" s="19" t="s">
        <v>168</v>
      </c>
      <c r="D178" s="19"/>
      <c r="E178" s="11" t="str">
        <f t="shared" si="3"/>
        <v>YES</v>
      </c>
      <c r="F178" s="4" t="str">
        <f t="shared" si="4"/>
        <v>31 Jan</v>
      </c>
      <c r="G178" s="15">
        <f t="array" ref="G178">XLOOKUP($C178,main!N$2:N$673,main!$B$2:$B$673,"")</f>
        <v>46053</v>
      </c>
      <c r="H178" s="11" t="str">
        <f t="array" ref="H178">XLOOKUP($C178,main!O$2:O$673,main!$B$2:$B$673,"")</f>
        <v/>
      </c>
      <c r="I178" s="11" t="str">
        <f t="array" ref="I178">XLOOKUP($C178,main!P$2:P$673,main!$B$2:$B$673,"")</f>
        <v/>
      </c>
      <c r="J178" s="11" t="str">
        <f t="array" ref="J178">XLOOKUP($C178,main!Q$2:Q$673,main!$B$2:$B$673,"")</f>
        <v/>
      </c>
      <c r="K178" s="11"/>
      <c r="L178" s="16"/>
    </row>
    <row r="179">
      <c r="A179" s="13" t="s">
        <v>313</v>
      </c>
      <c r="B179" s="19" t="s">
        <v>314</v>
      </c>
      <c r="C179" s="19" t="s">
        <v>179</v>
      </c>
      <c r="D179" s="19"/>
      <c r="E179" s="11" t="str">
        <f t="shared" si="3"/>
        <v>YES</v>
      </c>
      <c r="F179" s="4" t="str">
        <f t="shared" si="4"/>
        <v>12 Feb
04 Feb</v>
      </c>
      <c r="G179" s="15">
        <f t="array" ref="G179">XLOOKUP($C179,main!N$2:N$673,main!$B$2:$B$673,"")</f>
        <v>46065</v>
      </c>
      <c r="H179" s="11" t="str">
        <f t="array" ref="H179">XLOOKUP($C179,main!O$2:O$673,main!$B$2:$B$673,"")</f>
        <v/>
      </c>
      <c r="I179" s="15">
        <f t="array" ref="I179">XLOOKUP($C179,main!P$2:P$673,main!$B$2:$B$673,"")</f>
        <v>46057</v>
      </c>
      <c r="J179" s="11" t="str">
        <f t="array" ref="J179">XLOOKUP($C179,main!Q$2:Q$673,main!$B$2:$B$673,"")</f>
        <v/>
      </c>
      <c r="K179" s="11"/>
      <c r="L179" s="16"/>
    </row>
    <row r="180">
      <c r="A180" s="13" t="s">
        <v>313</v>
      </c>
      <c r="B180" s="19" t="s">
        <v>314</v>
      </c>
      <c r="C180" s="19" t="s">
        <v>197</v>
      </c>
      <c r="D180" s="19"/>
      <c r="E180" s="11" t="str">
        <f t="shared" si="3"/>
        <v>YES</v>
      </c>
      <c r="F180" s="4" t="str">
        <f t="shared" si="4"/>
        <v>12 Feb</v>
      </c>
      <c r="G180" s="11" t="str">
        <f t="array" ref="G180">XLOOKUP($C180,main!N$2:N$673,main!$B$2:$B$673,"")</f>
        <v/>
      </c>
      <c r="H180" s="15">
        <f t="array" ref="H180">XLOOKUP($C180,main!O$2:O$673,main!$B$2:$B$673,"")</f>
        <v>46065</v>
      </c>
      <c r="I180" s="11" t="str">
        <f t="array" ref="I180">XLOOKUP($C180,main!P$2:P$673,main!$B$2:$B$673,"")</f>
        <v/>
      </c>
      <c r="J180" s="11" t="str">
        <f t="array" ref="J180">XLOOKUP($C180,main!Q$2:Q$673,main!$B$2:$B$673,"")</f>
        <v/>
      </c>
      <c r="K180" s="11"/>
      <c r="L180" s="16"/>
    </row>
    <row r="181">
      <c r="A181" s="13" t="s">
        <v>284</v>
      </c>
      <c r="B181" s="19" t="s">
        <v>496</v>
      </c>
      <c r="C181" s="19" t="s">
        <v>201</v>
      </c>
      <c r="D181" s="19"/>
      <c r="E181" s="11" t="str">
        <f t="shared" si="3"/>
        <v>YES</v>
      </c>
      <c r="F181" s="4" t="str">
        <f t="shared" si="4"/>
        <v>13 Feb</v>
      </c>
      <c r="G181" s="15">
        <f t="array" ref="G181">XLOOKUP($C181,main!N$2:N$673,main!$B$2:$B$673,"")</f>
        <v>46066</v>
      </c>
      <c r="H181" s="11" t="str">
        <f t="array" ref="H181">XLOOKUP($C181,main!O$2:O$673,main!$B$2:$B$673,"")</f>
        <v/>
      </c>
      <c r="I181" s="11" t="str">
        <f t="array" ref="I181">XLOOKUP($C181,main!P$2:P$673,main!$B$2:$B$673,"")</f>
        <v/>
      </c>
      <c r="J181" s="11" t="str">
        <f t="array" ref="J181">XLOOKUP($C181,main!Q$2:Q$673,main!$B$2:$B$673,"")</f>
        <v/>
      </c>
      <c r="K181" s="11"/>
      <c r="L181" s="16"/>
    </row>
    <row r="182">
      <c r="A182" s="18" t="s">
        <v>284</v>
      </c>
      <c r="B182" s="21" t="s">
        <v>238</v>
      </c>
      <c r="C182" s="21" t="s">
        <v>238</v>
      </c>
      <c r="D182" s="19"/>
      <c r="E182" s="11" t="str">
        <f t="shared" si="3"/>
        <v>YES</v>
      </c>
      <c r="F182" s="4" t="str">
        <f t="shared" si="4"/>
        <v>27 Feb
30 Dec</v>
      </c>
      <c r="G182" s="15">
        <f t="array" ref="G182">XLOOKUP($C182,main!N$2:N$673,main!$B$2:$B$673,"")</f>
        <v>46080</v>
      </c>
      <c r="H182" s="11" t="str">
        <f t="array" ref="H182">XLOOKUP($C182,main!O$2:O$673,main!$B$2:$B$673,"")</f>
        <v/>
      </c>
      <c r="I182" s="11" t="str">
        <f t="array" ref="I182">XLOOKUP($C182,main!P$2:P$673,main!$B$2:$B$673,"")</f>
        <v/>
      </c>
      <c r="J182" s="11"/>
      <c r="K182" s="11"/>
      <c r="L182" s="16"/>
    </row>
    <row r="183">
      <c r="A183" s="13" t="s">
        <v>381</v>
      </c>
      <c r="B183" s="19" t="s">
        <v>80</v>
      </c>
      <c r="C183" s="19" t="s">
        <v>80</v>
      </c>
      <c r="D183" s="19"/>
      <c r="E183" s="11" t="str">
        <f t="shared" si="3"/>
        <v>YES</v>
      </c>
      <c r="F183" s="4" t="str">
        <f t="shared" si="4"/>
        <v>09 Jan
23 Feb</v>
      </c>
      <c r="G183" s="11" t="str">
        <f t="array" ref="G183">XLOOKUP($C183,main!N$2:N$673,main!$B$2:$B$673,"")</f>
        <v/>
      </c>
      <c r="H183" s="15">
        <f t="array" ref="H183">XLOOKUP($C183,main!O$2:O$673,main!$B$2:$B$673,"")</f>
        <v>46031</v>
      </c>
      <c r="I183" s="11" t="str">
        <f t="array" ref="I183">XLOOKUP($C183,main!P$2:P$673,main!$B$2:$B$673,"")</f>
        <v/>
      </c>
      <c r="J183" s="15">
        <f t="array" ref="J183">XLOOKUP($C183,main!Q$2:Q$673,main!$B$2:$B$673,"")</f>
        <v>46076</v>
      </c>
      <c r="K183" s="11"/>
      <c r="L183" s="16"/>
    </row>
    <row r="184">
      <c r="A184" s="13" t="s">
        <v>381</v>
      </c>
      <c r="B184" s="19" t="s">
        <v>497</v>
      </c>
      <c r="C184" s="19" t="s">
        <v>79</v>
      </c>
      <c r="D184" s="19"/>
      <c r="E184" s="11" t="str">
        <f t="shared" si="3"/>
        <v>YES</v>
      </c>
      <c r="F184" s="4" t="str">
        <f t="shared" si="4"/>
        <v>09 Jan</v>
      </c>
      <c r="G184" s="15">
        <f t="array" ref="G184">XLOOKUP($C184,main!N$2:N$673,main!$B$2:$B$673,"")</f>
        <v>46031</v>
      </c>
      <c r="H184" s="11" t="str">
        <f t="array" ref="H184">XLOOKUP($C184,main!O$2:O$673,main!$B$2:$B$673,"")</f>
        <v/>
      </c>
      <c r="I184" s="11" t="str">
        <f t="array" ref="I184">XLOOKUP($C184,main!P$2:P$673,main!$B$2:$B$673,"")</f>
        <v/>
      </c>
      <c r="J184" s="11" t="str">
        <f t="array" ref="J184">XLOOKUP($C184,main!Q$2:Q$673,main!$B$2:$B$673,"")</f>
        <v/>
      </c>
      <c r="K184" s="11"/>
      <c r="L184" s="16"/>
    </row>
    <row r="185">
      <c r="A185" s="13" t="s">
        <v>284</v>
      </c>
      <c r="B185" s="19" t="s">
        <v>498</v>
      </c>
      <c r="C185" s="19" t="s">
        <v>78</v>
      </c>
      <c r="D185" s="19"/>
      <c r="E185" s="11" t="str">
        <f t="shared" si="3"/>
        <v>YES</v>
      </c>
      <c r="F185" s="4" t="str">
        <f t="shared" si="4"/>
        <v>11 Feb
31 Jan
09 Jan</v>
      </c>
      <c r="G185" s="11" t="str">
        <f t="array" ref="G185">XLOOKUP($C185,main!N$2:N$673,main!$B$2:$B$673,"")</f>
        <v/>
      </c>
      <c r="H185" s="15">
        <f t="array" ref="H185">XLOOKUP($C185,main!O$2:O$673,main!$B$2:$B$673,"")</f>
        <v>46064</v>
      </c>
      <c r="I185" s="15">
        <f t="array" ref="I185">XLOOKUP($C185,main!P$2:P$673,main!$B$2:$B$673,"")</f>
        <v>46053</v>
      </c>
      <c r="J185" s="15">
        <f t="array" ref="J185">XLOOKUP($C185,main!Q$2:Q$673,main!$B$2:$B$673,"")</f>
        <v>46031</v>
      </c>
      <c r="K185" s="11"/>
      <c r="L185" s="16"/>
    </row>
    <row r="186">
      <c r="A186" s="13" t="s">
        <v>284</v>
      </c>
      <c r="B186" s="19" t="s">
        <v>302</v>
      </c>
      <c r="C186" s="19" t="s">
        <v>499</v>
      </c>
      <c r="D186" s="19"/>
      <c r="E186" s="11" t="str">
        <f t="shared" si="3"/>
        <v>NO</v>
      </c>
      <c r="F186" s="4" t="str">
        <f t="shared" si="4"/>
        <v/>
      </c>
      <c r="G186" s="11" t="str">
        <f t="array" ref="G186">XLOOKUP($C186,main!N$2:N$673,main!$B$2:$B$673,"")</f>
        <v/>
      </c>
      <c r="H186" s="11" t="str">
        <f t="array" ref="H186">XLOOKUP($C186,main!O$2:O$673,main!$B$2:$B$673,"")</f>
        <v/>
      </c>
      <c r="I186" s="11" t="str">
        <f t="array" ref="I186">XLOOKUP($C186,main!P$2:P$673,main!$B$2:$B$673,"")</f>
        <v/>
      </c>
      <c r="J186" s="11" t="str">
        <f t="array" ref="J186">XLOOKUP($C186,main!Q$2:Q$673,main!$B$2:$B$673,"")</f>
        <v/>
      </c>
      <c r="K186" s="11"/>
      <c r="L186" s="16"/>
    </row>
    <row r="187">
      <c r="A187" s="18" t="s">
        <v>381</v>
      </c>
      <c r="B187" s="21" t="s">
        <v>500</v>
      </c>
      <c r="C187" s="21" t="s">
        <v>77</v>
      </c>
      <c r="D187" s="19"/>
      <c r="E187" s="11" t="str">
        <f t="shared" si="3"/>
        <v>YES</v>
      </c>
      <c r="F187" s="4" t="str">
        <f t="shared" si="4"/>
        <v>30 Jan
09 Jan</v>
      </c>
      <c r="G187" s="15">
        <f t="array" ref="G187">XLOOKUP($C187,main!N$2:N$673,main!$B$2:$B$673,"")</f>
        <v>46052</v>
      </c>
      <c r="H187" s="11" t="str">
        <f t="array" ref="H187">XLOOKUP($C187,main!O$2:O$673,main!$B$2:$B$673,"")</f>
        <v/>
      </c>
      <c r="I187" s="15">
        <f t="array" ref="I187">XLOOKUP($C187,main!P$2:P$673,main!$B$2:$B$673,"")</f>
        <v>46031</v>
      </c>
      <c r="J187" s="11" t="str">
        <f t="array" ref="J187">XLOOKUP($C187,main!Q$2:Q$673,main!$B$2:$B$673,"")</f>
        <v/>
      </c>
      <c r="K187" s="11"/>
      <c r="L187" s="16"/>
    </row>
    <row r="188">
      <c r="A188" s="18" t="s">
        <v>381</v>
      </c>
      <c r="B188" s="21" t="s">
        <v>501</v>
      </c>
      <c r="C188" s="21" t="s">
        <v>147</v>
      </c>
      <c r="D188" s="19"/>
      <c r="E188" s="11" t="str">
        <f t="shared" si="3"/>
        <v>YES</v>
      </c>
      <c r="F188" s="4" t="str">
        <f t="shared" si="4"/>
        <v>23 Jan</v>
      </c>
      <c r="G188" s="15">
        <f t="array" ref="G188">XLOOKUP($C188,main!N$2:N$673,main!$B$2:$B$673,"")</f>
        <v>46045</v>
      </c>
      <c r="H188" s="11" t="str">
        <f t="array" ref="H188">XLOOKUP($C188,main!O$2:O$673,main!$B$2:$B$673,"")</f>
        <v/>
      </c>
      <c r="I188" s="11" t="str">
        <f t="array" ref="I188">XLOOKUP($C188,main!P$2:P$673,main!$B$2:$B$673,"")</f>
        <v/>
      </c>
      <c r="J188" s="11" t="str">
        <f t="array" ref="J188">XLOOKUP($C188,main!Q$2:Q$673,main!$B$2:$B$673,"")</f>
        <v/>
      </c>
      <c r="K188" s="11"/>
      <c r="L188" s="16"/>
    </row>
    <row r="189">
      <c r="A189" s="13" t="s">
        <v>381</v>
      </c>
      <c r="B189" s="19" t="s">
        <v>233</v>
      </c>
      <c r="C189" s="19" t="s">
        <v>233</v>
      </c>
      <c r="D189" s="19"/>
      <c r="E189" s="11" t="str">
        <f t="shared" si="3"/>
        <v>YES</v>
      </c>
      <c r="F189" s="4" t="str">
        <f t="shared" si="4"/>
        <v>26 Feb</v>
      </c>
      <c r="G189" s="15">
        <f t="array" ref="G189">XLOOKUP($C189,main!N$2:N$673,main!$B$2:$B$673,"")</f>
        <v>46079</v>
      </c>
      <c r="H189" s="11" t="str">
        <f t="array" ref="H189">XLOOKUP($C189,main!O$2:O$673,main!$B$2:$B$673,"")</f>
        <v/>
      </c>
      <c r="I189" s="11" t="str">
        <f t="array" ref="I189">XLOOKUP($C189,main!P$2:P$673,main!$B$2:$B$673,"")</f>
        <v/>
      </c>
      <c r="J189" s="11" t="str">
        <f t="array" ref="J189">XLOOKUP($C189,main!Q$2:Q$673,main!$B$2:$B$673,"")</f>
        <v/>
      </c>
      <c r="K189" s="11"/>
      <c r="L189" s="16"/>
    </row>
    <row r="190">
      <c r="A190" s="13" t="s">
        <v>381</v>
      </c>
      <c r="B190" s="19" t="s">
        <v>233</v>
      </c>
      <c r="C190" s="19" t="s">
        <v>75</v>
      </c>
      <c r="D190" s="19"/>
      <c r="E190" s="11" t="str">
        <f t="shared" si="3"/>
        <v>YES</v>
      </c>
      <c r="F190" s="4" t="str">
        <f t="shared" si="4"/>
        <v>09 Jan</v>
      </c>
      <c r="G190" s="15">
        <f t="array" ref="G190">XLOOKUP($C190,main!N$2:N$673,main!$B$2:$B$673,"")</f>
        <v>46031</v>
      </c>
      <c r="H190" s="11" t="str">
        <f t="array" ref="H190">XLOOKUP($C190,main!O$2:O$673,main!$B$2:$B$673,"")</f>
        <v/>
      </c>
      <c r="I190" s="11" t="str">
        <f t="array" ref="I190">XLOOKUP($C190,main!P$2:P$673,main!$B$2:$B$673,"")</f>
        <v/>
      </c>
      <c r="J190" s="11" t="str">
        <f t="array" ref="J190">XLOOKUP($C190,main!Q$2:Q$673,main!$B$2:$B$673,"")</f>
        <v/>
      </c>
      <c r="K190" s="11"/>
      <c r="L190" s="16"/>
    </row>
    <row r="191">
      <c r="A191" s="13" t="s">
        <v>284</v>
      </c>
      <c r="B191" s="20" t="s">
        <v>60</v>
      </c>
      <c r="C191" s="20" t="s">
        <v>60</v>
      </c>
      <c r="D191" s="19"/>
      <c r="E191" s="11" t="str">
        <f t="shared" si="3"/>
        <v>YES</v>
      </c>
      <c r="F191" s="4" t="str">
        <f t="shared" si="4"/>
        <v>14 Jan
10 Mar
08 Jan</v>
      </c>
      <c r="G191" s="15">
        <f t="array" ref="G191">XLOOKUP($C191,main!N$2:N$673,main!$B$2:$B$673,"")</f>
        <v>46036</v>
      </c>
      <c r="H191" s="15">
        <f t="array" ref="H191">XLOOKUP($C191,main!O$2:O$673,main!$B$2:$B$673,"")</f>
        <v>46091</v>
      </c>
      <c r="I191" s="15">
        <f t="array" ref="I191">XLOOKUP($C191,main!P$2:P$673,main!$B$2:$B$673,"")</f>
        <v>46030</v>
      </c>
      <c r="J191" s="11" t="str">
        <f t="array" ref="J191">XLOOKUP($C191,main!Q$2:Q$673,main!$B$2:$B$673,"")</f>
        <v/>
      </c>
      <c r="K191" s="16"/>
      <c r="L191" s="16"/>
    </row>
    <row r="192">
      <c r="A192" s="22" t="s">
        <v>313</v>
      </c>
      <c r="B192" s="23" t="s">
        <v>314</v>
      </c>
      <c r="C192" s="23" t="s">
        <v>76</v>
      </c>
      <c r="D192" s="23" t="s">
        <v>502</v>
      </c>
      <c r="E192" s="22" t="s">
        <v>503</v>
      </c>
      <c r="F192" s="24">
        <v>46078.0</v>
      </c>
      <c r="G192" s="15">
        <f t="array" ref="G192">XLOOKUP($C192,main!N$2:N$673,main!$B$2:$B$673,"")</f>
        <v>46078</v>
      </c>
      <c r="H192" s="15">
        <f t="array" ref="H192">XLOOKUP($C192,main!O$2:O$673,main!$B$2:$B$673,"")</f>
        <v>46031</v>
      </c>
      <c r="I192" s="11" t="str">
        <f t="array" ref="I192">XLOOKUP($C192,main!P$2:P$673,main!$B$2:$B$673,"")</f>
        <v/>
      </c>
      <c r="J192" s="11" t="str">
        <f t="array" ref="J192">XLOOKUP($C192,main!Q$2:Q$673,main!$B$2:$B$673,"")</f>
        <v/>
      </c>
      <c r="K192" s="16"/>
      <c r="L192" s="16"/>
    </row>
  </sheetData>
  <autoFilter ref="$A$1:$L$192"/>
  <dataValidations>
    <dataValidation type="list" allowBlank="1" showErrorMessage="1" sqref="B1:B192">
      <formula1>"AIxDesign (Designing for AI),App Design,Basic Electronics,Battery,Battery management,Business and Leadership,Cognitive &amp; Behavioral Design,Contextual &amp; Environmental Design,Design for Data,Design Thinking,EMS,Entrepreneurship,Ergonomics &amp; Human Factors ,E"&amp;"thical &amp; Responsible Design,Experience Design (XD),FPGAs/ DSP ,Human-Centered Design,Ideating/Ideation,Industrial/Form Factor Design,Interaction Design (ixD),Market Analysis,Microcontroller,PCB Design,POC ,Power ,Product Design,Product-System Design,Progr"&amp;"am Management,Prototyping ,Rapid Prototyping Tools,System Thinking,Testing ,Usability Evaluation/Testing,Usabillity Engineering ,User/Design Research,Visual and Interface Design,Wireless Technologies,Memory map,Clock configuration,Programming Basic,OTA,TC"&amp;"P/IP,GIT HUB,Documentation Writing,Code review,PWM,Emulation"</formula1>
    </dataValidation>
    <dataValidation type="list" allowBlank="1" showErrorMessage="1" sqref="A2:A192">
      <formula1>"Entrepreneurship,Business &amp; Leadership,Electronics and Basics,Embedded Systems and IoT,Design &amp; UI,Software &amp; App Dev,Product Development"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4" t="s">
        <v>504</v>
      </c>
      <c r="B1" s="4" t="s">
        <v>505</v>
      </c>
      <c r="C1" s="4"/>
      <c r="D1" s="4"/>
      <c r="E1" s="4"/>
    </row>
    <row r="2">
      <c r="A2" s="4" t="s">
        <v>9</v>
      </c>
      <c r="B2" s="4" t="s">
        <v>324</v>
      </c>
      <c r="C2" s="4" t="s">
        <v>505</v>
      </c>
      <c r="D2" s="4" t="s">
        <v>503</v>
      </c>
      <c r="E2" s="4" t="s">
        <v>280</v>
      </c>
    </row>
    <row r="3">
      <c r="A3" s="4" t="s">
        <v>488</v>
      </c>
      <c r="B3" s="4"/>
      <c r="C3" s="4">
        <v>4.0</v>
      </c>
      <c r="D3" s="4">
        <v>10.0</v>
      </c>
      <c r="E3" s="4">
        <v>14.0</v>
      </c>
    </row>
    <row r="4">
      <c r="A4" s="4" t="s">
        <v>21</v>
      </c>
      <c r="B4" s="4"/>
      <c r="C4" s="4">
        <v>40.0</v>
      </c>
      <c r="D4" s="4">
        <v>27.0</v>
      </c>
      <c r="E4" s="4">
        <v>67.0</v>
      </c>
    </row>
    <row r="5">
      <c r="A5" s="4" t="s">
        <v>313</v>
      </c>
      <c r="B5" s="4">
        <v>1.0</v>
      </c>
      <c r="C5" s="4">
        <v>6.0</v>
      </c>
      <c r="D5" s="4">
        <v>25.0</v>
      </c>
      <c r="E5" s="4">
        <v>32.0</v>
      </c>
    </row>
    <row r="6">
      <c r="A6" s="4" t="s">
        <v>284</v>
      </c>
      <c r="B6" s="4"/>
      <c r="C6" s="4">
        <v>12.0</v>
      </c>
      <c r="D6" s="4">
        <v>31.0</v>
      </c>
      <c r="E6" s="4">
        <v>43.0</v>
      </c>
    </row>
    <row r="7">
      <c r="A7" s="4" t="s">
        <v>487</v>
      </c>
      <c r="B7" s="4"/>
      <c r="C7" s="4">
        <v>2.0</v>
      </c>
      <c r="D7" s="4">
        <v>4.0</v>
      </c>
      <c r="E7" s="4">
        <v>6.0</v>
      </c>
    </row>
    <row r="8">
      <c r="A8" s="4" t="s">
        <v>117</v>
      </c>
      <c r="B8" s="4"/>
      <c r="C8" s="4">
        <v>11.0</v>
      </c>
      <c r="D8" s="4">
        <v>6.0</v>
      </c>
      <c r="E8" s="4">
        <v>17.0</v>
      </c>
    </row>
    <row r="9">
      <c r="A9" s="4" t="s">
        <v>381</v>
      </c>
      <c r="B9" s="4"/>
      <c r="C9" s="4"/>
      <c r="D9" s="4">
        <v>6.0</v>
      </c>
      <c r="E9" s="4">
        <v>6.0</v>
      </c>
    </row>
    <row r="10">
      <c r="A10" s="4" t="s">
        <v>280</v>
      </c>
      <c r="B10" s="4">
        <v>1.0</v>
      </c>
      <c r="C10" s="4">
        <v>75.0</v>
      </c>
      <c r="D10" s="4">
        <v>109.0</v>
      </c>
      <c r="E10" s="4">
        <v>185.0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3" width="16.88"/>
  </cols>
  <sheetData>
    <row r="1">
      <c r="A1" s="1" t="s">
        <v>506</v>
      </c>
      <c r="B1" s="1" t="s">
        <v>507</v>
      </c>
      <c r="C1" s="1" t="s">
        <v>508</v>
      </c>
    </row>
    <row r="2">
      <c r="A2" s="2" t="s">
        <v>19</v>
      </c>
      <c r="B2" s="2">
        <v>26.0</v>
      </c>
      <c r="C2" s="2" t="s">
        <v>276</v>
      </c>
    </row>
    <row r="3">
      <c r="A3" s="2" t="s">
        <v>127</v>
      </c>
      <c r="B3" s="2">
        <v>3.0</v>
      </c>
      <c r="C3" s="2" t="s">
        <v>274</v>
      </c>
    </row>
    <row r="4">
      <c r="A4" s="2" t="s">
        <v>34</v>
      </c>
      <c r="B4" s="2">
        <v>2.0</v>
      </c>
      <c r="C4" s="2" t="s">
        <v>274</v>
      </c>
    </row>
    <row r="5">
      <c r="A5" s="2" t="s">
        <v>160</v>
      </c>
      <c r="C5" s="2" t="s">
        <v>274</v>
      </c>
    </row>
    <row r="6">
      <c r="A6" s="2" t="s">
        <v>156</v>
      </c>
      <c r="B6" s="2">
        <v>28.0</v>
      </c>
      <c r="C6" s="2" t="s">
        <v>276</v>
      </c>
    </row>
    <row r="7">
      <c r="A7" s="2" t="s">
        <v>184</v>
      </c>
      <c r="B7" s="2">
        <v>50.0</v>
      </c>
      <c r="C7" s="2" t="s">
        <v>278</v>
      </c>
    </row>
    <row r="8">
      <c r="A8" s="2" t="s">
        <v>115</v>
      </c>
      <c r="B8" s="2">
        <v>28.0</v>
      </c>
      <c r="C8" s="2" t="s">
        <v>276</v>
      </c>
    </row>
    <row r="9">
      <c r="A9" s="2" t="s">
        <v>46</v>
      </c>
      <c r="B9" s="2">
        <v>15.0</v>
      </c>
      <c r="C9" s="2" t="s">
        <v>275</v>
      </c>
    </row>
    <row r="10">
      <c r="A10" s="2" t="s">
        <v>144</v>
      </c>
      <c r="B10" s="2">
        <v>15.0</v>
      </c>
      <c r="C10" s="2" t="s">
        <v>275</v>
      </c>
    </row>
    <row r="11">
      <c r="A11" s="2" t="s">
        <v>165</v>
      </c>
      <c r="B11" s="2">
        <v>35.0</v>
      </c>
      <c r="C11" s="2" t="s">
        <v>277</v>
      </c>
    </row>
    <row r="12">
      <c r="A12" s="2" t="s">
        <v>87</v>
      </c>
      <c r="B12" s="2">
        <v>27.0</v>
      </c>
      <c r="C12" s="2" t="s">
        <v>276</v>
      </c>
    </row>
    <row r="13">
      <c r="A13" s="2" t="s">
        <v>206</v>
      </c>
      <c r="B13" s="2">
        <v>35.0</v>
      </c>
      <c r="C13" s="2" t="s">
        <v>277</v>
      </c>
    </row>
    <row r="14">
      <c r="A14" s="2" t="s">
        <v>139</v>
      </c>
      <c r="B14" s="2">
        <v>40.0</v>
      </c>
      <c r="C14" s="2" t="s">
        <v>278</v>
      </c>
    </row>
    <row r="15">
      <c r="A15" s="2" t="s">
        <v>121</v>
      </c>
      <c r="B15" s="2">
        <v>47.0</v>
      </c>
      <c r="C15" s="2" t="s">
        <v>278</v>
      </c>
    </row>
    <row r="16">
      <c r="A16" s="2" t="s">
        <v>124</v>
      </c>
      <c r="B16" s="2">
        <v>23.0</v>
      </c>
      <c r="C16" s="2" t="s">
        <v>276</v>
      </c>
    </row>
    <row r="17">
      <c r="A17" s="2" t="s">
        <v>25</v>
      </c>
      <c r="C17" s="2" t="s">
        <v>279</v>
      </c>
    </row>
    <row r="18">
      <c r="A18" s="2" t="s">
        <v>92</v>
      </c>
    </row>
    <row r="19">
      <c r="A19" s="2" t="s">
        <v>271</v>
      </c>
      <c r="B19" s="2">
        <v>27.0</v>
      </c>
      <c r="C19" s="2" t="s">
        <v>276</v>
      </c>
    </row>
    <row r="20">
      <c r="A20" s="2" t="s">
        <v>270</v>
      </c>
      <c r="B20" s="2">
        <v>26.0</v>
      </c>
      <c r="C20" s="2" t="s">
        <v>276</v>
      </c>
    </row>
    <row r="21">
      <c r="A21" s="2" t="s">
        <v>509</v>
      </c>
      <c r="B21" s="2">
        <v>35.0</v>
      </c>
      <c r="C21" s="2" t="s">
        <v>277</v>
      </c>
    </row>
    <row r="22">
      <c r="A22" s="2" t="s">
        <v>510</v>
      </c>
      <c r="B22" s="2">
        <v>23.0</v>
      </c>
      <c r="C22" s="2" t="s">
        <v>276</v>
      </c>
    </row>
    <row r="23">
      <c r="A23" s="2" t="s">
        <v>511</v>
      </c>
      <c r="B23" s="2">
        <v>18.0</v>
      </c>
      <c r="C23" s="2" t="s">
        <v>275</v>
      </c>
    </row>
    <row r="24">
      <c r="A24" s="2" t="s">
        <v>512</v>
      </c>
      <c r="B24" s="2">
        <v>35.0</v>
      </c>
      <c r="C24" s="2" t="s">
        <v>277</v>
      </c>
    </row>
    <row r="25">
      <c r="A25" s="2" t="s">
        <v>245</v>
      </c>
      <c r="B25" s="2">
        <v>52.0</v>
      </c>
      <c r="C25" s="2" t="s">
        <v>513</v>
      </c>
    </row>
    <row r="26">
      <c r="A26" s="2" t="s">
        <v>514</v>
      </c>
      <c r="B26" s="2">
        <v>30.0</v>
      </c>
      <c r="C26" s="2" t="s">
        <v>277</v>
      </c>
    </row>
    <row r="27">
      <c r="A27" s="2" t="s">
        <v>515</v>
      </c>
      <c r="B27" s="2">
        <v>12.0</v>
      </c>
      <c r="C27" s="2" t="s">
        <v>275</v>
      </c>
    </row>
    <row r="28">
      <c r="A28" s="2" t="s">
        <v>516</v>
      </c>
      <c r="B28" s="2">
        <v>9.0</v>
      </c>
      <c r="C28" s="2" t="s">
        <v>517</v>
      </c>
    </row>
    <row r="29">
      <c r="A29" s="2" t="s">
        <v>267</v>
      </c>
    </row>
  </sheetData>
  <drawing r:id="rId1"/>
</worksheet>
</file>